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xr:revisionPtr revIDLastSave="0" documentId="8_{E5AEA615-D240-40DD-A1C8-675A2950EA32}" xr6:coauthVersionLast="47" xr6:coauthVersionMax="47" xr10:uidLastSave="{00000000-0000-0000-0000-000000000000}"/>
  <bookViews>
    <workbookView xWindow="240" yWindow="105" windowWidth="14805" windowHeight="8010" firstSheet="5" activeTab="5" xr2:uid="{00000000-000D-0000-FFFF-FFFF00000000}"/>
  </bookViews>
  <sheets>
    <sheet name="Dalily activity" sheetId="1" state="hidden" r:id="rId1"/>
    <sheet name="Store Launch" sheetId="6" r:id="rId2"/>
    <sheet name="2D Model Stores ELP" sheetId="13" r:id="rId3"/>
    <sheet name="3D Model Stores ELP" sheetId="12" r:id="rId4"/>
    <sheet name="Onshape Link" sheetId="19" state="hidden" r:id="rId5"/>
    <sheet name="Sheet1" sheetId="18" r:id="rId6"/>
    <sheet name="Links" sheetId="2" r:id="rId7"/>
    <sheet name="Doubt cases " sheetId="3" state="hidden" r:id="rId8"/>
    <sheet name="Library details" sheetId="4" state="hidden" r:id="rId9"/>
    <sheet name="Common or Specific to store" sheetId="5" state="hidden" r:id="rId10"/>
    <sheet name="CAD - Checklist" sheetId="7" state="hidden" r:id="rId11"/>
    <sheet name="check list Mgi terminal B" sheetId="9" state="hidden" r:id="rId12"/>
    <sheet name="Sheet2" sheetId="22" r:id="rId13"/>
    <sheet name="CAD Daily activity - GOWTHAM" sheetId="11" r:id="rId14"/>
    <sheet name="Sheet3" sheetId="21" r:id="rId15"/>
    <sheet name="Store Launch Details" sheetId="20" r:id="rId16"/>
    <sheet name="EOD Status" sheetId="14" r:id="rId17"/>
  </sheets>
  <definedNames>
    <definedName name="_xlnm._FilterDatabase" localSheetId="9" hidden="1">'Common or Specific to store'!$B$2:$J$18</definedName>
    <definedName name="_xlnm._FilterDatabase" localSheetId="0" hidden="1">'Dalily activity'!$B$1:$J$1</definedName>
    <definedName name="_xlnm._FilterDatabase" localSheetId="1" hidden="1">'Store Launch'!$A$31:$A$31</definedName>
    <definedName name="_xlnm._FilterDatabase" localSheetId="3" hidden="1">'3D Model Stores ELP'!$B$2:$F$2</definedName>
    <definedName name="_xlnm._FilterDatabase" localSheetId="15" hidden="1">'Store Launch Details'!$B$2:$J$39</definedName>
  </definedNames>
  <calcPr calcId="191028"/>
  <pivotCaches>
    <pivotCache cacheId="2091"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5" i="20" l="1"/>
  <c r="O15" i="20"/>
  <c r="C4" i="20"/>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 i="20"/>
  <c r="N13" i="20" l="1"/>
  <c r="N12" i="20"/>
  <c r="N11" i="20"/>
  <c r="N10" i="20"/>
  <c r="N9" i="20"/>
  <c r="N8" i="20"/>
  <c r="N7" i="20"/>
  <c r="N6" i="20"/>
  <c r="N5" i="20"/>
  <c r="N4" i="20"/>
  <c r="N3" i="20"/>
  <c r="N15" i="20" s="1"/>
</calcChain>
</file>

<file path=xl/sharedStrings.xml><?xml version="1.0" encoding="utf-8"?>
<sst xmlns="http://schemas.openxmlformats.org/spreadsheetml/2006/main" count="3413" uniqueCount="895">
  <si>
    <t>SI.NO</t>
  </si>
  <si>
    <t>Date</t>
  </si>
  <si>
    <t>Emp Name</t>
  </si>
  <si>
    <t>Emp id</t>
  </si>
  <si>
    <t>Store Name</t>
  </si>
  <si>
    <t>Activity</t>
  </si>
  <si>
    <t>Status</t>
  </si>
  <si>
    <t>Output Link</t>
  </si>
  <si>
    <t>Comments</t>
  </si>
  <si>
    <t>Bothiraajan PM</t>
  </si>
  <si>
    <t>MNW9806</t>
  </si>
  <si>
    <t>-</t>
  </si>
  <si>
    <t>Review the Meeting Recording</t>
  </si>
  <si>
    <t>Done</t>
  </si>
  <si>
    <t>\\10.10.0.14\MasterMinds\Vcognition\Exception Handling\Reports\CAD\ELP OUTPUTS</t>
  </si>
  <si>
    <t>First cut</t>
  </si>
  <si>
    <t>Analysis &amp; Draw Houston Store ELP</t>
  </si>
  <si>
    <t>Overview the store profile</t>
  </si>
  <si>
    <t>Analysis &amp; Draw carlton Store ELP</t>
  </si>
  <si>
    <t>Final</t>
  </si>
  <si>
    <t>Analysis &amp; Draw Towson Store ELP</t>
  </si>
  <si>
    <t>Auto CAD Training session                                                                                                                                                            1. Planograms can include: 
Dimensions for aisles, shelves, and product displays
The type of product display to use for each section
Photos of preset layouts
Numbered dowel holes and shelf notches to show the exact location of each item</t>
  </si>
  <si>
    <t>Explore the Dimension setting in liber cad</t>
  </si>
  <si>
    <t>Auto CAD Training session</t>
  </si>
  <si>
    <t>HMHW Cypress</t>
  </si>
  <si>
    <t>Analysis &amp; Draw a HMHW Store ELP</t>
  </si>
  <si>
    <t>Engergizer</t>
  </si>
  <si>
    <t xml:space="preserve">Analysis &amp; Draw ENGERGIZER STADIUM ELP PLAN </t>
  </si>
  <si>
    <t>Engergizer &amp; HMHW</t>
  </si>
  <si>
    <t>ENERGIZER STADIUM ELP plan &amp; HMHW ELP plan has changes and updated the both plan.</t>
  </si>
  <si>
    <t>Energizer</t>
  </si>
  <si>
    <t>ENERGIZER STADIUM ELP plan has changes and updated the plan.</t>
  </si>
  <si>
    <t>HMHW ELP Plan Draw in ISOMETRIC VIEW</t>
  </si>
  <si>
    <t>ENERGIZER ELP Plan Has changes and updated the ELP file.</t>
  </si>
  <si>
    <t>Energizer &amp; MGITerminal D</t>
  </si>
  <si>
    <t>MGI TERMINAL ELP Analysis &amp; Draw The elp plan.</t>
  </si>
  <si>
    <t>MGITerminal D</t>
  </si>
  <si>
    <t>Updated the MGI TERMINAL ELP</t>
  </si>
  <si>
    <t>Updated the MGI TERMINAL ELP - Feedback from Anand - The changes in Security camera position and network port, power port annotation has been updated in the elp. Ppt created for the HMHW ELP plan with equipment plan, camera plan</t>
  </si>
  <si>
    <t>Updated the MGI TERMINAL ELP - Feedback from Anand - The changes in KIOSK size and colour has been removed. The cooler has been imported to library dimension given by Anand.  2D model are added to library in librecad</t>
  </si>
  <si>
    <t>Updated the MGI TERMINAL ELP plan - Feedbackback from Anand - Reposition the security camera "S01".     Exploring freecad for creating 3D floor plan.</t>
  </si>
  <si>
    <t>Updated the MGI TERMINAL ELP plan - Changes given by Anand - adding ENTRY, EXIT, NO ENTRY TURNSTILE and COOLERS with Signage label in the ppt .</t>
  </si>
  <si>
    <t>https://docs.google.com/presentation/d/1q_J4W03pRtoOtI7z_MZd8Kn7bCcPPWwu1hJp-CRgN0Y/edit#slide=id.p</t>
  </si>
  <si>
    <t xml:space="preserve">Updating the ENERGIZER ELP plan - Changes given by Anand - adding network and power drop plan and creating the document </t>
  </si>
  <si>
    <t>https://docs.google.com/presentation/d/1IEyc3pYb5oCaFIUI8LJ6azz8AiE7zUK_BpybgM1b_rA/edit#slide=id.g32b9e92e55b_0_1</t>
  </si>
  <si>
    <t>Capital One Arena</t>
  </si>
  <si>
    <t>Capital one store layout plan has been created - Anand assigned to work only on Turnstile, Camera plan and walkable area of the customer.</t>
  </si>
  <si>
    <t>https://docs.google.com/presentation/d/1TFbEgMMIZfmT_xcYYbh0Xm0mQtif8Y7bWEjStUgh6bo/edit#slide=id.g32c69806e2f_1_0</t>
  </si>
  <si>
    <t xml:space="preserve">Updated Capital One Arena layout plan - krishna and Anand has provided the feedback through mail - Updated changes are Turnstile Dimensions and positions, Camera plan. </t>
  </si>
  <si>
    <t>Chicken Tenders at 402</t>
  </si>
  <si>
    <t>Federal Favorites at 402</t>
  </si>
  <si>
    <t>District Favorites at 102</t>
  </si>
  <si>
    <t>https://docs.google.com/presentation/d/1TFbEgMMIZfmT_xcYYbh0Xm0mQtif8Y7bWEjStUgh6bo/edit#slide=id.g32bded8bf1e_0_10</t>
  </si>
  <si>
    <t>Federal Favorites 112</t>
  </si>
  <si>
    <t xml:space="preserve">Updated Capital One Arena layout plan - krishna has provided the feedback through mail - Updated  the changes in Turnstile Dimensions and positions, Camera plan in the elp. </t>
  </si>
  <si>
    <t>Updated Capital One Arena layout plan - krishna has provided the feedback through mail - Updated  the changes in Camera plan and turnstile position in the elp. 
District Favorites at 102, Chicken tender 402, federal favorite 402 &amp; Federal Favorites 112  Turnstile repositioned as per the feedback from Krishna.</t>
  </si>
  <si>
    <t>https://docs.google.com/presentation/d/1TFbEgMMIZfmT_xcYYbh0Xm0mQtif8Y7bWEjStUgh6bo/edit#slide=id.g32bded8bf1e_0_11</t>
  </si>
  <si>
    <t>_</t>
  </si>
  <si>
    <t>creating the 2d cad model for equipments in the elp such as coolers, gondola, turnstile and cameras.</t>
  </si>
  <si>
    <t>\\10.10.0.14\MasterMinds\Vcognition\Exception Handling\Reports\CAD\ELP OUTPUTS\Architect8-LCAD</t>
  </si>
  <si>
    <t>creating the 2d cad model for equipments in the elp such as coolers, gondola, turnstile and cameras.         Updated the MGI TERMINAL ELP plan - Feedback shared by Anand - Changes are added new camera (T12) in the ELP plan and updatedthe DAISY CHAIN in the ELP plan.</t>
  </si>
  <si>
    <t>1. Feedback from Anand for MGI TERMINAL STORE - Updated the daisy chain in the mgi terminal store with new daisy chain camera link.   2.Training in proress for zippin store layout in the console.</t>
  </si>
  <si>
    <t>Training in the zippin store console for layout plan design.</t>
  </si>
  <si>
    <t>https://docs.google.com/document/d/1hv5I4w-aqr9nNrOgwN9kjNSCSV38ej8vejs1vb-18zM/edit?tab=t.0</t>
  </si>
  <si>
    <t>Training in the zippin store console for layout plan design.  The doubt and question about the store has been updated and shared to Anand.</t>
  </si>
  <si>
    <t>1. Feedback from Anand for MGI TERMINAL STORE - Updated the Security camera position and added an slide for sensor elevation plan for coolers and coffee machine.</t>
  </si>
  <si>
    <t>https://docs.google.com/presentation/d/1q_J4W03pRtoOtI7z_MZd8Kn7bCcPPWwu1hJp-CRgN0Y/edit#slide=id.g3310b5cf47d_0_0</t>
  </si>
  <si>
    <t>Expection handling training.</t>
  </si>
  <si>
    <t>Updating the ENERGIZER ELP plan - update given by Anand - Annotation plan has been created and updated the slide.</t>
  </si>
  <si>
    <t>Updating the ENERGIZER ELP plan - update given by Anand - Annotation plan has been created and updated the slide added coolers to the ELP plan.</t>
  </si>
  <si>
    <t>https://docs.google.com/presentation/d/16NFzS02rENcjZGT5K_QTX1IZ8n8UHMU5EXGAN8SjUJg/edit#slide=id.g339b0bd05f0_0_57</t>
  </si>
  <si>
    <t>Padres- Petco Park</t>
  </si>
  <si>
    <t>The padres - petco park stadium has been created 2 store - 126 Ballpark Eats, 135 Ballpark Eats- Work assigned by Anand</t>
  </si>
  <si>
    <t>126 Ballpark Eats</t>
  </si>
  <si>
    <t>https://docs.google.com/presentation/d/1EGy9PspUiDXOKTk6kVvqVUy6EDbTnPVXfia1UXYep40/edit#slide=id.g33a57c71c00_0_11</t>
  </si>
  <si>
    <t>135 Ballpark Eats</t>
  </si>
  <si>
    <t>The padres - petco park stadium has been updated 2 store - 126 Ballpark Eats, 135 Ballpark Eats- Work assigned by Anand - Changes are position &amp; distance between  One Camera to another camera and Lights.</t>
  </si>
  <si>
    <t>https://docs.google.com/presentation/d/1EGy9PspUiDXOKTk6kVvqVUy6EDbTnPVXfia1UXYep40/edit#slide=id.p</t>
  </si>
  <si>
    <t>CEVIO</t>
  </si>
  <si>
    <t>CEVIO store layout plan has been created - Krishna and Anand assigned to work on the ELP plan.</t>
  </si>
  <si>
    <t>https://docs.google.com/presentation/d/1RvCO2TVF-ovj_Lmg5FcSaSKzqPVtzY-MTtpN9q_XBBo/edit#slide=id.p</t>
  </si>
  <si>
    <t>CEVIO store layout plan has been updated - Krishna and Anand assigned to work on the ELP plan. Changes are - Camera angle, turnstile position and text.</t>
  </si>
  <si>
    <t>CEVIO store layout plan has been updated - Krishna assigned to work on the ELP plan. Changes are - Camera angle turned 90*.</t>
  </si>
  <si>
    <t>Anand requested to explore features from canva with ai tools.</t>
  </si>
  <si>
    <t>Anand requested to explore features from canva with ai tools.   Presentation.ai</t>
  </si>
  <si>
    <r>
      <t xml:space="preserve">AI tools has been explored - </t>
    </r>
    <r>
      <rPr>
        <b/>
        <sz val="11"/>
        <color rgb="FF000000"/>
        <rFont val="Cambria"/>
      </rPr>
      <t xml:space="preserve">Edraw.ai, Galaxy.ai, Openart.ai. </t>
    </r>
    <r>
      <rPr>
        <sz val="11"/>
        <color rgb="FF000000"/>
        <rFont val="Cambria"/>
      </rPr>
      <t xml:space="preserve">I cannot cascade to Anand due to he is not available. </t>
    </r>
  </si>
  <si>
    <r>
      <rPr>
        <b/>
        <sz val="11"/>
        <color rgb="FF000000"/>
        <rFont val="Cambria"/>
      </rPr>
      <t>SMART DRAW</t>
    </r>
    <r>
      <rPr>
        <sz val="11"/>
        <color rgb="FF000000"/>
        <rFont val="Cambria"/>
      </rPr>
      <t xml:space="preserve"> tool has been explored for the elp.</t>
    </r>
  </si>
  <si>
    <r>
      <rPr>
        <b/>
        <sz val="11"/>
        <color rgb="FF000000"/>
        <rFont val="Cambria"/>
      </rPr>
      <t>SMART DRAW, Room sketcher</t>
    </r>
    <r>
      <rPr>
        <sz val="11"/>
        <color rgb="FF000000"/>
        <rFont val="Cambria"/>
      </rPr>
      <t xml:space="preserve"> tool has been explored for the elp.</t>
    </r>
  </si>
  <si>
    <t xml:space="preserve">Training provided for new resources for the elp plan.       </t>
  </si>
  <si>
    <t>Topics covered: Overview of the librecad.</t>
  </si>
  <si>
    <t>Training provided for new resources for the elp plan.</t>
  </si>
  <si>
    <t>Topics covered:  Analysis and draw the Energizer elp.</t>
  </si>
  <si>
    <t>Topics covered:  Analysis and draw the Capital one - Chicken tender 402 elp.</t>
  </si>
  <si>
    <t>Krishna provided changes through mail. The changes are the turnstile Q306(1ADA+1STD) to two single Q306 ADA turnstles, added security camera "S01,S02", Exit distance changed to same as entry distance.</t>
  </si>
  <si>
    <t>Trainging provided for new resources for the elp plan. Analysis an drawn the Padress-135 elp.</t>
  </si>
  <si>
    <t>MGI TERMINAL B</t>
  </si>
  <si>
    <t>Anand requested to create an ELP for Mgi Terminal B.</t>
  </si>
  <si>
    <t>https://docs.google.com/presentation/d/1meDzwcWS5kjXuiH2iqd5XZ_-8KnTegGuF3km7srd_Vk/edit#slide=id.g34935e3568f_5_1</t>
  </si>
  <si>
    <t>Training provided for new resources for the elp plan. Capital one - Chicken tender 402</t>
  </si>
  <si>
    <t>https://docs.google.com/presentation/d/1meDzwcWS5kjXuiH2iqd5XZ_-8KnTegGuF3km7srd_Vk/edit#slide=id.g349944995b4_0_2</t>
  </si>
  <si>
    <t>ELP plan is drawn by new resources - MGI TERMINAL B</t>
  </si>
  <si>
    <t>Anand provided dimension for gondola to complete the elp plan.</t>
  </si>
  <si>
    <t>Anand requested to add the Canopy and complete the elp plan.</t>
  </si>
  <si>
    <t>NRG STADIUM (MODEL 1 -506, 536),( Model 2)</t>
  </si>
  <si>
    <t>Anand provided new ELP plan for NRG store and he requested to complete the store in the end of the day.</t>
  </si>
  <si>
    <t>https://docs.google.com/presentation/d/14xK2WtPKZ2SflCnyVtJRi6v34wlKXV0dI-Iz-G0gMBE/edit#slide=id.g34b14c888a2_1_27</t>
  </si>
  <si>
    <t>ELP plan is drawn by new resources - NRG STADIUM (MODEL1, MODEL 2)</t>
  </si>
  <si>
    <t>NRG STADIUM (MODEL 1 - 506, 536)</t>
  </si>
  <si>
    <t>Anand provided architecture plan for NRG stadium and requested to complete the elp as per the prodived input. The output has been shared to Anand through whattsapp.</t>
  </si>
  <si>
    <t>ELP plan is drawn by new resources - NRG STADIUM (MODEL1)</t>
  </si>
  <si>
    <t>https://forms.office.com/r/cunqjp0uZm</t>
  </si>
  <si>
    <t>Anand requested to change the turnstile entry flaps. The output has been shared to Anand through whattsapp.</t>
  </si>
  <si>
    <t>Cynthia Woods Mitchell Pavilion-North / South - CWMP</t>
  </si>
  <si>
    <t>Anand provided input through whattsapp and requested to complete the first cut of the two ELP plan. The output has been shared to Anand through whattsapp.</t>
  </si>
  <si>
    <t>https://docs.google.com/presentation/d/19vzTURsI3zsjOHyazJoSi5cbtAqe0pq98W12H3fkoF8/edit#slide=id.g34edfff4cef_0_10</t>
  </si>
  <si>
    <t>Anand provided input through whattsapp and requested to complete the first cut of the two ELP plan. Store overall dimensions are provided. The output has been shared to Anand through whattsapp,</t>
  </si>
  <si>
    <r>
      <t xml:space="preserve">ELP plan is drawn by new resources - </t>
    </r>
    <r>
      <rPr>
        <b/>
        <sz val="11"/>
        <color rgb="FF000000"/>
        <rFont val="Cambria"/>
      </rPr>
      <t>CWMP store</t>
    </r>
  </si>
  <si>
    <t>Training provided for new resource.</t>
  </si>
  <si>
    <t>Anand requested to change the camera position and update the ELP. The output has been shared to Anand through whattsapp.</t>
  </si>
  <si>
    <t>Anand requested to change the EXIT turnstile (X-310) for the ELP and change the camera position to 90' and complete the ELP at the EOD. Update in the camera position - Entry/Exit cameras are in 90' facing upwards and rest of the cameras facing entry turnstiles. The output has been shared to Anand through whattsapp.</t>
  </si>
  <si>
    <t>https://docs.google.com/presentation/d/1g6dPmn50xI61ZwAJg8djACN3pT6I2NfgUmNvQlJIh74/edit#slide=id.g349944995b4_0_2</t>
  </si>
  <si>
    <t>https://docs.google.com/presentation/d/1meDzwcWS5kjXuiH2iqd5XZ_-8KnTegGuF3km7srd_Vk/edit#slide=id.g34ad75042b1_0_12</t>
  </si>
  <si>
    <t>Exploring Canva</t>
  </si>
  <si>
    <t>PEPSI GRAB &amp; GO</t>
  </si>
  <si>
    <t xml:space="preserve"> Anand provided input image of the new store PEPSI GRAB &amp; GO and requested to draw the elp (NOTE: there is no dimenson camera dimension, equipment details). Anand requested to work on  Zippin stores Standard ELP for client presentation. The output has been shared to Anand through whattsapp.</t>
  </si>
  <si>
    <t>https://docs.google.com/presentation/d/1YFN4AWzXSonadj5QSuuPF56VFncgsrImqqbw5fHHbGI/edit#slide=id.g354bf69e967_0_15</t>
  </si>
  <si>
    <t>PUBLIC BAR - (STAR LAKE)</t>
  </si>
  <si>
    <t>Anand provided input of PUBLIC BAR ELP through whatsapp and requested to complete the ELP at the EOD.   New Resources completed the ELP. The output has been shared to Anand through whattsapp.</t>
  </si>
  <si>
    <t>https://docs.google.com/presentation/d/1tYxfbROl5lG8KA3g4D9qUaeR59tt4a7gdl0ZToLsraE/edit#slide=id.g355390449e7_2_6</t>
  </si>
  <si>
    <t>Krishna and Anand requested to changes the Camera position facing upward and turnstiles should be DUAL ADA TURNSTILE Q306. The output has been shared to Anand through whattsapp.</t>
  </si>
  <si>
    <t>https://docs.google.com/presentation/d/103pzYY0D-Z7HKcJe5HDaYQ4xODXCmenpr38PVZapw54/edit#slide=id.p</t>
  </si>
  <si>
    <t>Anand requested to Create an ELP for Client presentation and shared input. Training provided for new resource.</t>
  </si>
  <si>
    <t>https://docs.google.com/presentation/d/1YFN4AWzXSonadj5QSuuPF56VFncgsrImqqbw5fHHbGI/edit#slide=id.g354c88703f7_0_0</t>
  </si>
  <si>
    <t>Anand requested to Create an ELP for Client presentation and shared input. Drawn an ISOMETRIC VIEW Store as per Anand request. Training provided for new resource.</t>
  </si>
  <si>
    <t>https://docs.google.com/presentation/d/1YFN4AWzXSonadj5QSuuPF56VFncgsrImqqbw5fHHbGI/edit#slide=id.g356534891eb_0_6</t>
  </si>
  <si>
    <t>PUBLIC BAR - (STAR LAKE), Cynthia North &amp; South.</t>
  </si>
  <si>
    <t>Anand requested to complete the following works, 
The Public bar (Star lane) ELP has been updated in the slides Ceiling , fan &amp; light plan. The Cynthia North &amp; South Cooler annotation has been updated in the slides 8th &amp; 19th and also i have completed the Iso metric drawing for camera and updated in the slide also. New resource completed the ELP</t>
  </si>
  <si>
    <t>https://docs.google.com/presentation/d/1uQVHOaFGD0J3LKYjmISSkO7hvsTLm9dIukdkDXhNU4Q/edit#slide=id.p</t>
  </si>
  <si>
    <t>Krishna and Anand conducted a google meet in there they explained about the ELP output format and requested to complete the ELP in the EOD. The changes are Camera dimensions. New resource completed the ELP</t>
  </si>
  <si>
    <t>NRG (MODEL 2 - 300 level) UPPER, LOWER</t>
  </si>
  <si>
    <t>Anand requested to complete the ELP and shared input through whatsapp. It needs more correction from the input and showed the input correction to anand and he asked the client for input parameters clearly.Krishna provided store image file in front view and requested to place the camera in the given image file. New resource completed the ELP</t>
  </si>
  <si>
    <t>https://docs.google.com/presentation/d/1Zxtxx0MQ-LwfVpsAfg7dviRRnuT54SJbTH9bYIX1mHk/edit#slide=id.g335e185a9c4_0_0</t>
  </si>
  <si>
    <t>PADRESS STORE - 126 BALLPARK EATS</t>
  </si>
  <si>
    <t>Anand requested to change the camera colour to black in the NRG Camera image file. Anand requested to draw the ISOMETRIC view, front, top, right side view for the PADRESS STORE -126 BALLPARK EATS. New resource completed the ELP</t>
  </si>
  <si>
    <t>https://docs.google.com/presentation/d/1AutgMYk7KxCSZX-HCdbRqJv63DgzwnffoOY8A1T9Sx0/edit?slide=id.g35859493e8e_0_0#slide=id.g35859493e8e_0_0</t>
  </si>
  <si>
    <t>Anand requested to complete the Isometric, Right side and front view for the Store. New resource completed the ELP.</t>
  </si>
  <si>
    <t>Elior – ST Micro Crolles ELP</t>
  </si>
  <si>
    <t>Anand shared input through whattsapp and requested to complete the First cut of the ELP.</t>
  </si>
  <si>
    <t>https://docs.google.com/presentation/d/1th12Mzai4Rll_MvYPfqY3d1g3AQr4RrPUw6KmgcVmJI/edit?slide=id.g35981e3d494_0_6#slide=id.g35981e3d494_0_6</t>
  </si>
  <si>
    <t>Anand requested to Create an ELP for Padress 126 Ballpark eats Client presentation and shared input. Drawn an ISOMETRIC VIEW Store as per Anand request. Training provided for new resource.</t>
  </si>
  <si>
    <t>https://docs.google.com/presentation/d/1AutgMYk7KxCSZX-HCdbRqJv63DgzwnffoOY8A1T9Sx0/edit?slide=id.g35aaaf8cd33_0_6#slide=id.g35aaaf8cd33_0_6</t>
  </si>
  <si>
    <t>Anand requested to Create an ELP for Padress 126 Ballpark eats Client presentation. Drawn an ISOMETRIC VIEW Store as per Anand request. Training provided for new resource.</t>
  </si>
  <si>
    <t>Anand provided input through whattsapp for the ELP and requested to complete the changes. The changes are Camera placement. New resources completed the ELP. Anand requested to complete the 2 door and 3 door cooler isometric view for presentation purpose.</t>
  </si>
  <si>
    <t>https://docs.google.com/presentation/d/1th12Mzai4Rll_MvYPfqY3d1g3AQr4RrPUw6KmgcVmJI/edit?slide=id.g35b621f7089_2_6#slide=id.g35b621f7089_2_6</t>
  </si>
  <si>
    <t>Mgi Terminal c</t>
  </si>
  <si>
    <t>Anand provided input for the new store through whatsapp and requested to complete the ELP at the EOD.</t>
  </si>
  <si>
    <t>https://docs.google.com/presentation/d/1GT_JBa0r-7HNyTac_yi33dWbMJLX8-GgbdVrl8LD2Ek/edit?slide=id.g35bae327e05_3_0#slide=id.g35bae327e05_3_0</t>
  </si>
  <si>
    <t>Anand requested to update the NRG stadium Level 300 Store. The changes are overall store is reduced as per we requested to change the overall length due to excessive space in the store.</t>
  </si>
  <si>
    <t>https://docs.google.com/presentation/d/1Zxtxx0MQ-LwfVpsAfg7dviRRnuT54SJbTH9bYIX1mHk/edit?slide=id.g304e356dc81_0_19#slide=id.g304e356dc81_0_19</t>
  </si>
  <si>
    <t>file://\\10.10.0.14\MasterMinds\Vcognition\Exception%20Handling\Reports\CAD\ELP%20OUTPUTS</t>
  </si>
  <si>
    <t>Anand provided input for the new store through whatsapp and requested to complete the ELP at the EOD. The changes are camera plan dimension are changed.</t>
  </si>
  <si>
    <t>https://docs.google.com/presentation/d/1sP6K21pPQEbSI0ih-zwcv1q3TeHJCQ-pz7sTKd5wo1U/edit?slide=id.g35d146bb1fb_0_36#slide=id.g35d146bb1fb_0_36</t>
  </si>
  <si>
    <t>NRG (MODEL 2 - 300 level) UPPER HANG</t>
  </si>
  <si>
    <t>Anand requested to share the DXF and slide link through whatsapp and also complete the isometric view for presentation purpose.</t>
  </si>
  <si>
    <t>https://docs.google.com/presentation/d/1q_mHzqLPQQHAAulpF847n7owPpB1eZLscD1-7MNjuWI/edit?slide=id.g335e185a9c4_1_12#slide=id.g335e185a9c4_1_12</t>
  </si>
  <si>
    <t>Recorder video for LibreCad tutorial for future refernce</t>
  </si>
  <si>
    <t>Recorder video for LibreCad tutorial for future refernce. Training provided for new resources</t>
  </si>
  <si>
    <t>Created Sop document for the ELP plan.</t>
  </si>
  <si>
    <t>https://mahendranw-my.sharepoint.com/:w:/r/personal/abuthahir_babu_mnw_co_in/_layouts/15/Doc.aspx?sourcedoc=%7B593622CE-26B1-4C80-823F-795CA2BDF7C1%7D&amp;file=Libre%20Cad%20Sop%20final.docx&amp;action=default&amp;mobileredirect=true&amp;DefaultItemOpen=1&amp;wdOrigin=EXCELONLINE.SHELL%2CAPPHOME-WEB.FILEBROWSER.RECENT&amp;wdPreviousSession=59364346-590b-4b8a-96d1-3db36760f450&amp;wdPreviousSessionSrc=AppHomeWeb&amp;ct=1749527433635</t>
  </si>
  <si>
    <t>Created Sop document for the ELP plan. Provided training for new resources.</t>
  </si>
  <si>
    <t>\\10.10.0.14\MasterMinds\Vcognition\Exception Handling\Reports\CAD\SOP</t>
  </si>
  <si>
    <t>Training Provided for new resources</t>
  </si>
  <si>
    <t>Sno</t>
  </si>
  <si>
    <t>Store type</t>
  </si>
  <si>
    <t>Store name</t>
  </si>
  <si>
    <t>ELP start date</t>
  </si>
  <si>
    <t>ELP modification date(If any)</t>
  </si>
  <si>
    <t>ELP end date</t>
  </si>
  <si>
    <t>Is it launched</t>
  </si>
  <si>
    <t>If yes (Date)</t>
  </si>
  <si>
    <t>Non-Event</t>
  </si>
  <si>
    <t>HMHW - Cyprass</t>
  </si>
  <si>
    <t>1/17/2025, 1/18/2025, 1/21/2025</t>
  </si>
  <si>
    <t>Yes</t>
  </si>
  <si>
    <t>Month</t>
  </si>
  <si>
    <t>Started</t>
  </si>
  <si>
    <t>Completed</t>
  </si>
  <si>
    <t>Completed but not yet launched</t>
  </si>
  <si>
    <t>Completed and Launched</t>
  </si>
  <si>
    <t>Completed but not launched only from previous months</t>
  </si>
  <si>
    <t>Launched this month  but completed in previous months only</t>
  </si>
  <si>
    <t>Event</t>
  </si>
  <si>
    <t>Energizer store</t>
  </si>
  <si>
    <t>1/17/2025, 1/18/2025, 1/20/2025, 1/23/2025. 1/24/2025, 2/1/2025, 2/24/2025, 2/25/2025</t>
  </si>
  <si>
    <t>MGI TERMINAL D</t>
  </si>
  <si>
    <t xml:space="preserve">1/27/2025, 1/28/2025, 1/29/2025, 1/30/2025, 1/31/2025, 2/8/2025. 2/10/2025, 2/17/2025, </t>
  </si>
  <si>
    <r>
      <rPr>
        <b/>
        <sz val="11"/>
        <color rgb="FF000000"/>
        <rFont val="Cambria"/>
      </rPr>
      <t xml:space="preserve">CAPITAL ONE ARENA </t>
    </r>
    <r>
      <rPr>
        <sz val="11"/>
        <color rgb="FF000000"/>
        <rFont val="Cambria"/>
      </rPr>
      <t>(Chicken tender 402)</t>
    </r>
  </si>
  <si>
    <t>2/4/2025, 2/5/2025, 2/6/2025</t>
  </si>
  <si>
    <r>
      <rPr>
        <b/>
        <sz val="11"/>
        <color rgb="FF000000"/>
        <rFont val="Cambria"/>
      </rPr>
      <t xml:space="preserve">CAPITAL ONE ARENA </t>
    </r>
    <r>
      <rPr>
        <sz val="11"/>
        <color rgb="FF000000"/>
        <rFont val="Cambria"/>
      </rPr>
      <t>(Federal favorites 402)</t>
    </r>
  </si>
  <si>
    <t xml:space="preserve">2/4/2025, 2/5/2025, 2/6/2025, </t>
  </si>
  <si>
    <r>
      <rPr>
        <b/>
        <sz val="11"/>
        <color rgb="FF000000"/>
        <rFont val="Cambria"/>
      </rPr>
      <t>CAPITAL ONE ARENA</t>
    </r>
    <r>
      <rPr>
        <sz val="11"/>
        <color rgb="FF000000"/>
        <rFont val="Cambria"/>
      </rPr>
      <t xml:space="preserve"> (District favorites 102)</t>
    </r>
  </si>
  <si>
    <t>2/4/2025, 2/5/2025, 2/6/2025, 4/4/2025</t>
  </si>
  <si>
    <r>
      <rPr>
        <b/>
        <sz val="11"/>
        <color rgb="FF000000"/>
        <rFont val="Cambria"/>
      </rPr>
      <t>CAPITAL ONE ARENA</t>
    </r>
    <r>
      <rPr>
        <sz val="11"/>
        <color rgb="FF000000"/>
        <rFont val="Cambria"/>
      </rPr>
      <t xml:space="preserve"> (Federal favorites 112)</t>
    </r>
  </si>
  <si>
    <t>2/4/2025, 2/5/2025, 2/6/2025,</t>
  </si>
  <si>
    <r>
      <rPr>
        <b/>
        <sz val="11"/>
        <color rgb="FF000000"/>
        <rFont val="Cambria"/>
      </rPr>
      <t>PADRESS-PETCO PARK</t>
    </r>
    <r>
      <rPr>
        <sz val="11"/>
        <color rgb="FF000000"/>
        <rFont val="Cambria"/>
      </rPr>
      <t xml:space="preserve"> (126-Ballpark eats)</t>
    </r>
  </si>
  <si>
    <t>2/28/2025, 3/3/2025</t>
  </si>
  <si>
    <r>
      <rPr>
        <b/>
        <sz val="11"/>
        <color rgb="FF000000"/>
        <rFont val="Cambria"/>
      </rPr>
      <t>PADRESS-PETCO PARK</t>
    </r>
    <r>
      <rPr>
        <sz val="11"/>
        <color rgb="FF000000"/>
        <rFont val="Cambria"/>
      </rPr>
      <t xml:space="preserve"> (135-Ballpark eats)</t>
    </r>
  </si>
  <si>
    <t>No</t>
  </si>
  <si>
    <t>4/4/2025,4/5/2025,4/10/2025, 4/25/2025, 4/28/2025</t>
  </si>
  <si>
    <t>NRG STADIUM (Model 1 - 506, 536)</t>
  </si>
  <si>
    <t>4/11/2025, 4/14/2025, 4/15/2025, 4/16/2025, 4*/25/2025, 4/28/2025, , 5/14/2025, 5/22/2025</t>
  </si>
  <si>
    <t>NRG STADIUM (Model 2)</t>
  </si>
  <si>
    <t>Cynthia Woods Mitchell Pavilion - North - CWMP</t>
  </si>
  <si>
    <t xml:space="preserve">4/16/2025, 4/17/2025
</t>
  </si>
  <si>
    <t>Cynthia Woods Mitchell Pavilion - South - CWMP</t>
  </si>
  <si>
    <t>Pepsi Grab &amp; Go</t>
  </si>
  <si>
    <t>Public Bar</t>
  </si>
  <si>
    <t>5/6/2025, 5/7/2025</t>
  </si>
  <si>
    <t>Elior – ST Micro Crolles ELP (7 CAMERA PLAN)</t>
  </si>
  <si>
    <t>Elior – ST Micro Crolles ELP (6 CAMERA PLAN)</t>
  </si>
  <si>
    <t>MGI TERMINAL C</t>
  </si>
  <si>
    <t>5/23/2025, 6/27/2025,9/19/2025,
 11/28/25, 12/12/2025</t>
  </si>
  <si>
    <t>SAP Mart</t>
  </si>
  <si>
    <t>7/22/2025, 7/23/2025</t>
  </si>
  <si>
    <t>Aerostar</t>
  </si>
  <si>
    <t>Capital One - 432</t>
  </si>
  <si>
    <t>Capital One - 402</t>
  </si>
  <si>
    <t>Capital One - 200</t>
  </si>
  <si>
    <t>ELIOR STORE</t>
  </si>
  <si>
    <t>ROYAL 1 BASE 3 Pack</t>
  </si>
  <si>
    <t>8/23/2025, 9/18/2025, 9/19/2025,9/23/2025</t>
  </si>
  <si>
    <t>LLT - MAGNUM</t>
  </si>
  <si>
    <t>Houston Methodist Willowbrook - South Tower</t>
  </si>
  <si>
    <t>MCG BAR-1-19</t>
  </si>
  <si>
    <t>9/12/2025, 9/22/2025, 9/23/2025, 10/6/2025, 10/15/2025, 11/13/2025</t>
  </si>
  <si>
    <t>Manulife Toronto</t>
  </si>
  <si>
    <t>MCG BAR-155</t>
  </si>
  <si>
    <t>9/23/2025, 10/3/2025,  10/6/2025, 10/15/2025, 11/13/2025</t>
  </si>
  <si>
    <t>Zippin Lane C27 DFW</t>
  </si>
  <si>
    <t>10/11/2025, 10/13/2025</t>
  </si>
  <si>
    <t>Ohio University-Baker Center</t>
  </si>
  <si>
    <t>12/5/2025, 12/17/2025</t>
  </si>
  <si>
    <t>MCG Bar-1-05</t>
  </si>
  <si>
    <t>11/11/2025, 11/22/2025, 12/6/2025, 12/24/2025, 12/26/2025</t>
  </si>
  <si>
    <t>Rogers centre-Zippin lane</t>
  </si>
  <si>
    <t>AAMI Park</t>
  </si>
  <si>
    <t>Sl. no.</t>
  </si>
  <si>
    <t>ELP for 2D Model</t>
  </si>
  <si>
    <t>https://docs.google.com/presentation/d/1dl5xXZD64x-y58Gn6Kfk84jO_UC0MK2A4nG7h_XWb7k/edit?slide=id.p#slide=id.p</t>
  </si>
  <si>
    <t>https://docs.google.com/presentation/d/1IEyc3pYb5oCaFIUI8LJ6azz8AiE7zUK_BpybgM1b_rA/edit?slide=id.p#slide=id.p</t>
  </si>
  <si>
    <t>https://docs.google.com/presentation/d/1KENLekA9VK7xaxaPBDP1HylItttQT354y1P7HyDgK4M/edit?slide=id.p#slide=id.p</t>
  </si>
  <si>
    <t>https://docs.google.com/presentation/d/1uq8ewiSMSuQFAxL3-jeRJXQ2OPA9JIlShaSNNVWZW88/edit?slide=id.p#slide=id.p</t>
  </si>
  <si>
    <t>https://docs.google.com/presentation/d/150yaMQfB-p1WG7XSMtykQ86fOJ5zS2elcUv52pD-aI4/edit?slide=id.p#slide=id.p</t>
  </si>
  <si>
    <t>https://docs.google.com/presentation/d/1xC6QOligLxKJg1NiqOt63y6rgXPl5Nm6-cRdra0RAbk/edit?slide=id.p#slide=id.p</t>
  </si>
  <si>
    <t>https://docs.google.com/presentation/d/1Y3ov9yEQrrMOiRwMTs9nGFoJ8O-vQwE7bl-DKOGfDrQ/edit?slide=id.p#slide=id.p</t>
  </si>
  <si>
    <t>https://docs.google.com/presentation/d/1EGy9PspUiDXOKTk6kVvqVUy6EDbTnPVXfia1UXYep40/edit?slide=id.p#slide=id.p</t>
  </si>
  <si>
    <t>https://docs.google.com/presentation/d/1RvCO2TVF-ovj_Lmg5FcSaSKzqPVtzY-MTtpN9q_XBBo/edit?slide=id.p#slide=id.p</t>
  </si>
  <si>
    <t>https://docs.google.com/presentation/d/1meDzwcWS5kjXuiH2iqd5XZ_-8KnTegGuF3km7srd_Vk/edit?slide=id.p#slide=id.p</t>
  </si>
  <si>
    <t>https://docs.google.com/presentation/d/14xK2WtPKZ2SflCnyVtJRi6v34wlKXV0dI-Iz-G0gMBE/edit?slide=id.p#slide=id.p</t>
  </si>
  <si>
    <t>https://docs.google.com/presentation/d/19vzTURsI3zsjOHyazJoSi5cbtAqe0pq98W12H3fkoF8/edit?slide=id.g34edfff4cef_0_10#slide=id.g34edfff4cef_0_10</t>
  </si>
  <si>
    <t>https://docs.google.com/presentation/d/1YFN4AWzXSonadj5QSuuPF56VFncgsrImqqbw5fHHbGI/edit?slide=id.g354bf69e967_0_1#slide=id.g354bf69e967_0_1</t>
  </si>
  <si>
    <t>https://docs.google.com/presentation/d/1tYxfbROl5lG8KA3g4D9qUaeR59tt4a7gdl0ZToLsraE/edit?slide=id.p#slide=id.p</t>
  </si>
  <si>
    <t>https://docs.google.com/presentation/d/1th12Mzai4Rll_MvYPfqY3d1g3AQr4RrPUw6KmgcVmJI/edit?slide=id.p#slide=id.p</t>
  </si>
  <si>
    <t>https://docs.google.com/presentation/d/1Ly_utGpjOhRHMATbXMx31BJH5_rSsE9R/edit?slide=id.p1#slide=id.p1</t>
  </si>
  <si>
    <t>https://docs.google.com/presentation/d/1mB9eIQGxdGlZzVsoFrbW57T8mX94mk2ji6FZuJ2uYjg/edit?slide=id.p#slide=id.p</t>
  </si>
  <si>
    <t>https://docs.google.com/presentation/d/1mdLwkibwltw28IgQ1fRIZutMXrAUOHY1hZZkm9g1XYA/edit?slide=id.p#slide=id.p</t>
  </si>
  <si>
    <t>https://docs.google.com/presentation/d/1WzD9FuRkxuwtYM9iYdlTAClL_Wv1rENAbVs8mlGVjVw/edit?slide=id.g3721408f654_0_5#slide=id.g3721408f654_0_5</t>
  </si>
  <si>
    <t>https://docs.google.com/presentation/d/1IGiy30gnfSYAOwixpqYriw-1nZwW7PVFpHsZOl15Xqk/edit?slide=id.g373e21e48dc_0_0#slide=id.g373e21e48dc_0_0</t>
  </si>
  <si>
    <t>https://docs.google.com/presentation/d/1Sq-4zeMRrPqkRlVSPJeWUtWmslbkXhxHUbDlSUeQfpo/edit?slide=id.p#slide=id.p</t>
  </si>
  <si>
    <t>https://docs.google.com/presentation/d/1fPwsSRa5joCuN9eKDeBz5jOg8IoA8sfPmW5Yb8LTcMc/edit?slide=id.p#slide=id.p</t>
  </si>
  <si>
    <t>Royal 1 Base 3 Pack(Entry on Both Side)</t>
  </si>
  <si>
    <t>https://docs.google.com/presentation/d/14Jf_MnahDp-gaKlXTNC9g31dH6vhUgqYiqrAG3th1jA/edit?slide=id.p#slide=id.p</t>
  </si>
  <si>
    <t>Royal 1 Base 3 Pack(Entry on Left Side)</t>
  </si>
  <si>
    <t>https://docs.google.com/presentation/d/1_oMpjbktz4_3TWD2bqqU7FFLw3n-IljtxeRwgXPwT3E/edit?slide=id.p#slide=id.p</t>
  </si>
  <si>
    <t>LLT - Magnum</t>
  </si>
  <si>
    <t>https://docs.google.com/presentation/d/1aC8cSxQ1rwjYPRrOVqI6Fe4pCfY3S58Rsblif0ocS5o/edit?slide=id.p#slide=id.p</t>
  </si>
  <si>
    <t>MCG Bar-1-19</t>
  </si>
  <si>
    <t>https://docs.google.com/presentation/d/1yyc8piftoSmhsD7AhfjntfUciVeuWtOEN81C2SayRPY/edit?slide=id.p#slide=id.p</t>
  </si>
  <si>
    <t>Houston Methodist Willowbrook
 - South Tower</t>
  </si>
  <si>
    <t>https://docs.google.com/presentation/d/1b1sKDTrjLKAsG9lFOd3v8OnXWqaaWPMoX5sUIPV8MsM/edit?slide=id.g388a6696662_0_1#slide=id.g388a6696662_0_1</t>
  </si>
  <si>
    <t>https://docs.google.com/presentation/d/1ptpw5Jcug9jV7-84oBwqag1g1UlcH1_IO_ZaZkX2BNk/edit?slide=id.p#slide=id.p</t>
  </si>
  <si>
    <t>MCG Bar-155</t>
  </si>
  <si>
    <t>https://docs.google.com/presentation/d/1Hlf7-mAN4mZW2GZh9kNtpjOpUHAg3rRyIsM8ZxIxPOQ/edit?slide=id.p#slide=id.p</t>
  </si>
  <si>
    <t>Zippin Lane C27 dfw</t>
  </si>
  <si>
    <t>https://docs.google.com/presentation/d/1zpqzPITT_k0vkFeK1YtJ1AfE2fi2-eYlPjBRuiBIirc/edit?slide=id.p#slide=id.p</t>
  </si>
  <si>
    <t>https://docs.google.com/presentation/d/1CRsCTx_U68rD_06LO5GcZYUouAm_EfcLIwO_8XTXS68/edit?slide=id.g3a0722e8fad_0_6#slide=id.g3a0722e8fad_0_6</t>
  </si>
  <si>
    <t>Rogers Centre-Zippin lane</t>
  </si>
  <si>
    <t>https://docs.google.com/presentation/d/13x0xIY83rf2T6brP24Lc9uBCpiGUtdolyymvDmGViPI/edit?slide=id.p#slide=id.p</t>
  </si>
  <si>
    <t>https://docs.google.com/presentation/d/1cvz6P9fsKZ-mUZiL_4LkIv0kriR7Va8y/edit?slide=id.p1#slide=id.p1</t>
  </si>
  <si>
    <t>ELP for 3D Model</t>
  </si>
  <si>
    <t>https://docs.google.com/presentation/d/1unAuFHt05_YupQbewHgf_34JKjXp3ZsJ14Hvyv99gB0/edit?slide=id.p#slide=id.p</t>
  </si>
  <si>
    <t>https://docs.google.com/presentation/d/17X3AsTx18cV7M3T5CAQHzhLWPWMeveLdcE7ckKA8xbQ/edit?slide=id.p#slide=id.p</t>
  </si>
  <si>
    <t>https://docs.google.com/presentation/d/1qM98cKhdxvJgBzNWVX-IZYEMAzKyQCyGKyPmsv6DmQE/edit?slide=id.p#slide=id.p</t>
  </si>
  <si>
    <t>https://docs.google.com/presentation/d/1l4gVdWzoWRud1xaTgip4MzXhYvIcVmr-LkmfACky3OM/edit?slide=id.p#slide=id.p</t>
  </si>
  <si>
    <t>https://docs.google.com/presentation/d/1fUEvXTqVgF10dm8916Nn_O0rQq38XRoeVq70FHO8og4/edit?slide=id.p#slide=id.p</t>
  </si>
  <si>
    <t>https://docs.google.com/presentation/d/1rmhU8EDgKY1PeddsXe7nMu-TVG-jIlyEeKNPjr7f2nc/edit?slide=id.p#slide=id.p</t>
  </si>
  <si>
    <t>https://docs.google.com/presentation/d/1B5V59fCSdXNwefGJa9kH4mQuWxlTDJyfrGWcZFngO9c/edit?slide=id.p#slide=id.p</t>
  </si>
  <si>
    <t>https://docs.google.com/presentation/d/1ewBqhbm-u6B137PP5_kUTc9zviZLKVz-RBzspUzYhP0/edit?slide=id.p#slide=id.p</t>
  </si>
  <si>
    <t>https://docs.google.com/presentation/d/1WPmWl_RY7WLE6sIsUWfT3MSCwvmN-wlp7s1EZaXJrn0/edit?slide=id.p#slide=id.p</t>
  </si>
  <si>
    <t>https://docs.google.com/presentation/d/19OhWz1knbiLQk0GGKVE6jOQF5CAxByJq4dONDIXv824/edit?slide=id.p#slide=id.p</t>
  </si>
  <si>
    <t>https://docs.google.com/presentation/d/1yrIyzUbL_f2gEvbygdipIoIf74nglygszPhvM39icgw/edit?slide=id.p#slide=id.p</t>
  </si>
  <si>
    <t>https://docs.google.com/presentation/d/1_gBup2RWrTLtwVsd_VHvxjbBR4kcy8Vnb4t4j1J3mRw/edit?slide=id.p#slide=id.p</t>
  </si>
  <si>
    <t>https://docs.google.com/presentation/d/13N_VIn4oys9YVGkM2F-ZEzZYbjK2bxmL_iR6aSzw8O4/edit?slide=id.p#slide=id.p</t>
  </si>
  <si>
    <t>https://docs.google.com/presentation/d/1YQuxMijQOLH_9eDVgudFELK2dkfX9hpg3i4zxh1TcH0/edit?slide=id.p#slide=id.p</t>
  </si>
  <si>
    <t>https://docs.google.com/presentation/d/1we7dObwxW4ng5r0ppk60szJc971rrqvGAWmJliV-NNI/edit?slide=id.p#slide=id.p</t>
  </si>
  <si>
    <t>https://docs.google.com/presentation/d/1MKsxImxRsfQndd4TKVuSmnSASbVgv5Q6hileepwHreA/edit?slide=id.p#slide=id.p</t>
  </si>
  <si>
    <t>https://docs.google.com/presentation/d/1By67K0NO2UDfAaZAjBlUWIwc556hEHK7LJ7H73pc5iE/edit?slide=id.p#slide=id.p</t>
  </si>
  <si>
    <t>https://docs.google.com/presentation/d/15yxObcGYc_pHPwzgOZg48Cx3zIlpjBc3v4ZQb7NELdQ/edit?slide=id.p#slide=id.p</t>
  </si>
  <si>
    <t>https://docs.google.com/presentation/d/1gEaU_F5AYFKe0u6uI8n7_Txd15gC20_L_Krm3F51ZKM/edit?slide=id.p#slide=id.p</t>
  </si>
  <si>
    <t>https://docs.google.com/presentation/d/11icvMeVcMN9JIRCnwMu_y0S1NM9H46vr_t_dxAeoofo/edit?slide=id.p#slide=id.p</t>
  </si>
  <si>
    <t>https://docs.google.com/presentation/d/1VMBpEm45ZZleQc8J__zeUhSAgOWxVY9DV5wtxTc_6Ak/edit?slide=id.p#slide=id.p</t>
  </si>
  <si>
    <t>https://docs.google.com/presentation/d/1rg05UOdrg-fuPY7iIMxn0O9w6yk6bLLf51t2FzpbYGA/edit?slide=id.p#slide=id.p</t>
  </si>
  <si>
    <t>https://docs.google.com/presentation/d/1hxyyJZ4aOgN0-5z5m6PerBDsGNhh6aJ71cjAtXH5WHk/edit?slide=id.p#slide=id.p</t>
  </si>
  <si>
    <t>Royal 1 Base 3 Pack</t>
  </si>
  <si>
    <t>https://docs.google.com/presentation/d/1mQfqKUlYow3j6mz75E9d0Lz3qXKk84LEbvqVSYWHuUU/edit?slide=id.p#slide=id.p</t>
  </si>
  <si>
    <t>https://docs.google.com/presentation/d/1SthMdmn61zxywg6px1WAVhwPR0ksMRyyQj2PTMee2pE/edit?slide=id.p#slide=id.p</t>
  </si>
  <si>
    <t>https://docs.google.com/presentation/d/17NcYXnRar_yCrlx9XkX_hOAVA9ZLJQwDlGJW1oHlsvk/edit?slide=id.p#slide=id.p</t>
  </si>
  <si>
    <t>https://docs.google.com/presentation/d/1mL3qFrj6XXGXTlpjXMsx_mVSBbHxQV_qSh_hbsHfRJk/edit?slide=id.p#slide=id.p</t>
  </si>
  <si>
    <t>https://docs.google.com/presentation/d/1inYnyBuSBATxdQL0cboRzPqxLdJ8QHcl7_eHhr7uEDM/edit?slide=id.g37f1917e506_0_0#slide=id.g37f1917e506_0_0</t>
  </si>
  <si>
    <t>https://docs.google.com/presentation/d/10cPUEGQpKk_IL9Czz01i03VT6I-Q7Z26ONyFTo25Zls/edit?slide=id.p#slide=id.p</t>
  </si>
  <si>
    <t>https://docs.google.com/presentation/d/1JO_Vi0FLydwX-_UmVlfQVREeAnYSe_DN61g1_oArkwo/edit?slide=id.p#slide=id.p</t>
  </si>
  <si>
    <t>https://docs.google.com/presentation/d/17NcYXnRar_yCrlx9XkX_hOAVA9ZLJQwDlGJW1oHlsvk/edit?slide=id.g398a63d0b23_0_0#slide=id.g398a63d0b23_0_0</t>
  </si>
  <si>
    <t>Rogers Centre - Zippin lane</t>
  </si>
  <si>
    <t>https://cad.onshape.com/documents/f36853e8bf2f733
475f83b62/w/1a0e7277cb865014b28a0c5c/e/af5
3d5bafdb86ad101fcf39c?renderMode=0&amp;
uiState=69216716f8b8d17732d28fde</t>
  </si>
  <si>
    <t>HMHW Cypress 3D Model</t>
  </si>
  <si>
    <t>Energizer Store 3D Model</t>
  </si>
  <si>
    <t>MGI Terminal D 3D Model</t>
  </si>
  <si>
    <t>Chicken Tendor - 402 3D Model</t>
  </si>
  <si>
    <t>Federal Favorites - 402 3D Model</t>
  </si>
  <si>
    <t>https://cad.onshape.com/documents/728914a65bd7c67b1769808c/w/05620e9e214e155bcad13d4d/e/bb217bedb2a70700aa672aae?renderMode=0&amp;uiState=6899bdfdbbcdb13e84159fc1</t>
  </si>
  <si>
    <t>Federal Favorites - 112 3D model</t>
  </si>
  <si>
    <t>Padress Petco park 126 3D Model</t>
  </si>
  <si>
    <t>Padress Petco Park 135 3D Model</t>
  </si>
  <si>
    <t>Cevio 3D Model</t>
  </si>
  <si>
    <t>MGI Terminal B 3D Model</t>
  </si>
  <si>
    <t>NRG - Model 1 3D Model</t>
  </si>
  <si>
    <t>NRG - Model 2 3D Model</t>
  </si>
  <si>
    <t>CWMP North Plan 3D Model</t>
  </si>
  <si>
    <t>CWMP South Plan 3D Model</t>
  </si>
  <si>
    <t>Pepsi Grab &amp; Go 3D Model</t>
  </si>
  <si>
    <t>Public Bar Star Lake 3D Model</t>
  </si>
  <si>
    <t>Elior – ST Micro Crolles ELP - First cut</t>
  </si>
  <si>
    <t>MGI Terminal C 3D Model</t>
  </si>
  <si>
    <t>https://cad.onshape.com/documents/f978363bae861094ffc7c72f/w/c01d7e910efd0f7f6e3dcd35/e/db65726e76a06d01bd47c2a0?renderMode=0&amp;uiState=688768a03044c0651c0bcb84</t>
  </si>
  <si>
    <t>https://cad.onshape.com/documents/4d1458253b002fda15da24a0/w/7870d8111e77a6468aeba00f/e/0d20e3588609db66a8d7720d?renderMode=0&amp;uiState=68808069c8952e633beb1da1</t>
  </si>
  <si>
    <t>https://cad.onshape.com/documents/139f4477485891f430519da1/w/edd261396c590d8d33b531b2/e/5224dd094fd91ecfd4455c3c?renderMode=0&amp;uiState=68918ce1418699206e583c70</t>
  </si>
  <si>
    <t>https://cad.onshape.com/documents/f336582d1c0b08b9f3f9abce/w/9cc3e743f9fa75ff4bd0aec2/e/ae1a3e1e09d5e05313e1b954?renderMode=0&amp;uiState=6891b6406b368808b0e281f5</t>
  </si>
  <si>
    <t>https://cad.onshape.com/documents/b3b764b34aa459427ff9433b/w/492938ec554d7003c95030f2/e/7659f23adb826a87f7450b55?renderMode=0&amp;uiState=6891fadab9f0ac743303f767</t>
  </si>
  <si>
    <t>https://cad.onshape.com/documents/c82082cf5079b6b588ea96ad/w/28b8a019b26a5908ed9292db/e/03b70f3a1698e0775b6a9f46?renderMode=0&amp;uiState=68947bfe52238c67970cb7ad</t>
  </si>
  <si>
    <t>https://cad.onshape.com/documents/28fb7b24484998abfdba4d04/w/92465075dfba418a09e6ff60/e/6a5b38b564e177f7a68c5cfb?renderMode=0&amp;uiState=68cba202a2cffe388f9cf768</t>
  </si>
  <si>
    <t>LLT - Magnum 3D Model</t>
  </si>
  <si>
    <t>https://cad.onshape.com/documents/9b2d93ffc2c23be302bef65f/w/b08a6ebab3a06e98ee655446/e/1ba8f7c287898da858b93863?renderMode=0&amp;uiState=68d3dab8f6f909e469da6f3e</t>
  </si>
  <si>
    <t>HMWB_South 3D Model</t>
  </si>
  <si>
    <t>https://cad.onshape.com/documents/e2350c1c0ede426d6b94110a/w/3218b51847ea5d1d6d9106dd/e/fe17f72edf545154e9f374f6?renderMode=0&amp;uiState=68c90cd0d084359d12cd3aeb</t>
  </si>
  <si>
    <t>https://cad.onshape.com/documents/9b2d93ffc2c23be302bef65f/w/b08a6ebab3a06e98ee655446/e/aad4b53b440d7643f16db73c?renderMode=0&amp;uiState=68d50b2e9c99d4cae603b4ce</t>
  </si>
  <si>
    <t>https://cad.onshape.com/documents/9df737f2263d250d5d62516d/w/c7f5da3815909077b2a4d43c/e/d4f82566096805066b5d539b?renderMode=0&amp;uiState=68e8b27c157451e528c1eb01</t>
  </si>
  <si>
    <t>https://cad.onshape.com/documents/4f14f89b899be0414e86f447/w/2e55ac010b84b073c296eaad/e/6ba78ec4003dfd3a40f0d979?renderMode=0&amp;uiState=68fca9058360a50150ebe22b</t>
  </si>
  <si>
    <t>https://cad.onshape.com/documents/9b2d93ffc2c23be302bef65f/w/b08a6ebab3a06e98ee655446/e/ebfe54fddda7bd5e1927259e?renderMode=0&amp;uiState=690b336e074d8201442ad1fa</t>
  </si>
  <si>
    <t>https://cad.onshape.com/documents/f36853e8bf2f733475f83b62/w/1a0e7277cb865014b28a0c5c/e/af53d5bafdb86ad101fcf39c?renderMode=0&amp;uiState=69216716f8b8d17732d28fde</t>
  </si>
  <si>
    <t>https://cad.onshape.com/documents/6d424d579f9c83806945258e/w/dc39fa2fd605330bdc2bef2b/e/c3903cec62dadd968bbe712a?renderMode=0&amp;uiState=694e3253bff1e169b4ac45d8</t>
  </si>
  <si>
    <t>Number</t>
  </si>
  <si>
    <t>Internal / 
External Factors</t>
  </si>
  <si>
    <t>Mapping with 
Internal and 
external factors</t>
  </si>
  <si>
    <t>Function (Exception 
Handling &amp; Annotation)</t>
  </si>
  <si>
    <t>Risk/ Issue of Concern</t>
  </si>
  <si>
    <t>Likelihood (of 
risk occurring/ 
Issue of concern)</t>
  </si>
  <si>
    <t>Consequence
(if risk/ 
issue occurs)</t>
  </si>
  <si>
    <t>Risk Factor</t>
  </si>
  <si>
    <t>Mitigation Plan
( To reduce the likelihood)</t>
  </si>
  <si>
    <t>Contingency Plan
(To reduce the Consequence)</t>
  </si>
  <si>
    <t>Likelihood (of risk 
occurring/ Issue of 
Concern) - Post 
Mitigation</t>
  </si>
  <si>
    <t>Consequence
(if risk/ issue occurs)- Post ContingencyConsequence
(if risk/ issue occurs)- Post ContingencyConsequence
(if risk/ issue occurs)- Post Contingency</t>
  </si>
  <si>
    <t>Risk Factor- Post 
Mitigation and 
Contingency</t>
  </si>
  <si>
    <t>Likelihood</t>
  </si>
  <si>
    <t>Severity</t>
  </si>
  <si>
    <t>Risk Owner 
(TL/ ADM)</t>
  </si>
  <si>
    <t>SOA Clause</t>
  </si>
  <si>
    <t>Objective</t>
  </si>
  <si>
    <t>External</t>
  </si>
  <si>
    <t>Legal</t>
  </si>
  <si>
    <t>CAD</t>
  </si>
  <si>
    <t>SOPs do not have client approval</t>
  </si>
  <si>
    <t>Expected</t>
  </si>
  <si>
    <t>High</t>
  </si>
  <si>
    <t>We need to share the updated SOP to the respective
Project Manager and client for approval</t>
  </si>
  <si>
    <t>We need to send a reminder email to get the approval</t>
  </si>
  <si>
    <t>Likely</t>
  </si>
  <si>
    <t>Medium</t>
  </si>
  <si>
    <t>ADM</t>
  </si>
  <si>
    <t>5. Organizational controls</t>
  </si>
  <si>
    <t>Transferred</t>
  </si>
  <si>
    <t>Internal</t>
  </si>
  <si>
    <t>Knowledge</t>
  </si>
  <si>
    <t>Errors made as a result of poor understanding</t>
  </si>
  <si>
    <t>CAD resources will review the drawing carefully,
 following the client’s instructions.</t>
  </si>
  <si>
    <t>In case of any unclear details in the drawings, CAD resources will review the drawing carefully, following the client’s instructions, and seek clarification from the client before proceeding with further work.</t>
  </si>
  <si>
    <t>Possible</t>
  </si>
  <si>
    <t>Low</t>
  </si>
  <si>
    <t>Client</t>
  </si>
  <si>
    <t>6. People controls</t>
  </si>
  <si>
    <t>Mitigated</t>
  </si>
  <si>
    <t>Performance</t>
  </si>
  <si>
    <t>User skill and operational requirement mismatch</t>
  </si>
  <si>
    <t>Training and Certification</t>
  </si>
  <si>
    <t>Will update PIP and move the user to HR</t>
  </si>
  <si>
    <t>Ambiguous Updates from client</t>
  </si>
  <si>
    <t>Any required clarifications will be shared via email by the
 CAD resource with the client to avoid ambiguity.</t>
  </si>
  <si>
    <t>Any doubtful cases identified during the CAD process, 
the CAD resource will stop work immediately and 
inform the client at the same time to seek clarification
 before proceeding further.</t>
  </si>
  <si>
    <t>Accepted</t>
  </si>
  <si>
    <t>Staffing shortage (Abscond)</t>
  </si>
  <si>
    <t>Extended Shifts / Working on OFF days</t>
  </si>
  <si>
    <t>Very Low</t>
  </si>
  <si>
    <t>No Volumes</t>
  </si>
  <si>
    <t>Regularly monitor volume availability and 
provide timely updates to the customer.</t>
  </si>
  <si>
    <t>Reassign users to other tasks utilize the
 downtime for process improvements.</t>
  </si>
  <si>
    <t>TOOLS NEEDED FOR LIBRECAD and other software</t>
  </si>
  <si>
    <t>EQUIPMENT DIMENSIONS</t>
  </si>
  <si>
    <t>ELP DESCRIPTION</t>
  </si>
  <si>
    <t>zippin meet link</t>
  </si>
  <si>
    <t>ZIPPIN STORE FLOOR PLAN LAYOUT  PRESENTATION</t>
  </si>
  <si>
    <t>https://docs.google.com/presentation/d/1t_qMBDZdk1AVXNrkqVlG_MW-Mrc0SIqg9Z_gg5xSotk/edit#slide=id.g32ffa11429b_0_0</t>
  </si>
  <si>
    <t>https://docs.google.com/spreadsheets/d/1el8F9F_drwGbGf_PBYAIebtrcpQTQEVmiLLgTaKMcLw/edit?gid=0#gid=0</t>
  </si>
  <si>
    <t>https://meet.google.com/ogd-tvab-qod</t>
  </si>
  <si>
    <t>https://docs.google.com/presentation/d/1N090PR8h4ohxrlcQZ2YyysIj0B7hjnUpcdXh4FLD4dI/edit#slide=id.g333feb422b4_0_0</t>
  </si>
  <si>
    <t>Need "ttf2lff" converter for loading fonts in the librecad.</t>
  </si>
  <si>
    <t>need photos app to view images</t>
  </si>
  <si>
    <t>Zippin Floor plan presentation template</t>
  </si>
  <si>
    <t>ZIPPIN STORE FLOOR PLAN questions</t>
  </si>
  <si>
    <t>https://docs.google.com/presentation/d/1PQX56H_HUfFDqHa27oy049LiFkL3S6q-CNjCcG6JxCA/edit#slide=id.p</t>
  </si>
  <si>
    <t>ZIPPIN ELP LABEL</t>
  </si>
  <si>
    <t>https://docs.google.com/document/d/10C81LTKJ04D49Ngocp1cJng1SVVinbf81YJbyClCpJc/edit?tab=t.0</t>
  </si>
  <si>
    <t>si.no</t>
  </si>
  <si>
    <t>excess floor given my client which is not shared</t>
  </si>
  <si>
    <t>ELP STATUS TRACKER</t>
  </si>
  <si>
    <t>Librecad sop</t>
  </si>
  <si>
    <t>MGI TERMINAL B - PLAN 2</t>
  </si>
  <si>
    <t>https://docs.google.com/spreadsheets/d/1u0cUV5j8AR-IG0-JlCl83W4dPyt263MwgSxdfHJtffw/edit?gid=0#gid=0</t>
  </si>
  <si>
    <t>https://docs.google.com/document/d/1Di8pQnHAY5dXEC6NGgaAtChik9ny1mJkrBoQQIfob_s/edit?tab=t.0</t>
  </si>
  <si>
    <t>https://nextlearn.nextwealth.com/login/index.php</t>
  </si>
  <si>
    <t>Screen recording</t>
  </si>
  <si>
    <t>https://www.veed.io/workspaces/db77a091-0fd6-4334-b517-27d02c67e798/home?initTab=ai_apps</t>
  </si>
  <si>
    <t>Training energizer</t>
  </si>
  <si>
    <t>CWMP-NORTH</t>
  </si>
  <si>
    <t>https://docs.google.com/presentation/d/1g6HMOIAsoDKF__B_3xp6h1k868-f530m_H0eKDUXWU8/edit?slide=id.g35e26c3546c_0_145#slide=id.g35e26c3546c_0_145</t>
  </si>
  <si>
    <t>ENERGIZER</t>
  </si>
  <si>
    <t>https://docs.google.com/presentation/d/1QxSNZI9GLxMcyfGm_h5IkoEgofIVnQCKPMMQQtBhXtM/edit?slide=id.p#slide=id.p</t>
  </si>
  <si>
    <t>District Favourites 102</t>
  </si>
  <si>
    <t>https://docs.google.com/presentation/d/16XIhHJfFB7FyqzivDjzKgj10Lh2Kr1AnA8kYHEC97cY/edit?slide=id.p#slide=id.p</t>
  </si>
  <si>
    <t>https://meet.google.com/ygr-vesd-doe</t>
  </si>
  <si>
    <t>Drawing.vsdx</t>
  </si>
  <si>
    <t>https://www.happyscribe.com/language_service/document_conversions/6876e241ad984c46bf9df668271a833a</t>
  </si>
  <si>
    <t>Store</t>
  </si>
  <si>
    <t>Faced challenges and feedback in the store ELP plan</t>
  </si>
  <si>
    <t>Clarified</t>
  </si>
  <si>
    <t>Mail / Call</t>
  </si>
  <si>
    <t>Shared by</t>
  </si>
  <si>
    <t>General</t>
  </si>
  <si>
    <t>Floor layout - We don't recieve exact floor plan</t>
  </si>
  <si>
    <t>Closed</t>
  </si>
  <si>
    <t>Call</t>
  </si>
  <si>
    <t>Anand</t>
  </si>
  <si>
    <t>TURNSTILE- We didn' recieve the input for number of turnstile are used in the store and thier properties.</t>
  </si>
  <si>
    <t>Need properties of camera placement and daisy chain</t>
  </si>
  <si>
    <t>Open</t>
  </si>
  <si>
    <t>If there is any specfic dimension for placing turnstile</t>
  </si>
  <si>
    <t>S.no</t>
  </si>
  <si>
    <t>EQUIPMENTS</t>
  </si>
  <si>
    <t>DIMENSIONS</t>
  </si>
  <si>
    <t>TYPES</t>
  </si>
  <si>
    <t>PLACEMENT</t>
  </si>
  <si>
    <t>Library Equipment details</t>
  </si>
  <si>
    <t>Q306 AN Turnstile</t>
  </si>
  <si>
    <t>Available</t>
  </si>
  <si>
    <t>Entry/Exit</t>
  </si>
  <si>
    <t>Bi directional, flap should be center</t>
  </si>
  <si>
    <t>https://docs.google.com/presentation/d/1t_qMBDZdk1AVXNrkqVlG_MW-Mrc0SIqg9Z_gg5xSotk/edit#slide=id.g32db1ece269_0_0</t>
  </si>
  <si>
    <t>Z306 AN Turnstile</t>
  </si>
  <si>
    <t xml:space="preserve">Single directional, Flap should be in end of the turnstile. </t>
  </si>
  <si>
    <t>ADA + Q306 Turnstile</t>
  </si>
  <si>
    <t>Entry</t>
  </si>
  <si>
    <t>ADA + Z306 Turnstile</t>
  </si>
  <si>
    <t>Bi- Directional Turnstile</t>
  </si>
  <si>
    <t>z306 double turnstile</t>
  </si>
  <si>
    <t>Single Directional Turnstile</t>
  </si>
  <si>
    <t>Isometric Turnstile Q306</t>
  </si>
  <si>
    <t>Q306 Turnstile Front view</t>
  </si>
  <si>
    <t>cooler front view GDM-49RL-HC-TSL01</t>
  </si>
  <si>
    <t>Cooler MCF8733GR</t>
  </si>
  <si>
    <t>The following points will help us in creating an ELP.</t>
  </si>
  <si>
    <t>Single door -22-USGR-F2</t>
  </si>
  <si>
    <r>
      <rPr>
        <sz val="7"/>
        <color rgb="FF000000"/>
        <rFont val="Times New Roman"/>
      </rPr>
      <t xml:space="preserve"> </t>
    </r>
    <r>
      <rPr>
        <sz val="12"/>
        <color rgb="FF000000"/>
        <rFont val="Times New Roman"/>
      </rPr>
      <t>We require the store's exact measurements. For example: Length x Width</t>
    </r>
  </si>
  <si>
    <t>TOAM-36-HC-TSL01 open cooler</t>
  </si>
  <si>
    <r>
      <rPr>
        <sz val="7"/>
        <color rgb="FF000000"/>
        <rFont val="Times New Roman"/>
      </rPr>
      <t xml:space="preserve"> </t>
    </r>
    <r>
      <rPr>
        <sz val="12"/>
        <color rgb="FF000000"/>
        <rFont val="Times New Roman"/>
      </rPr>
      <t>It is necessary to know the equipment model and how many number of equipment will be used.</t>
    </r>
  </si>
  <si>
    <t>GDM-49RL-HC-TSL01 cooler double door</t>
  </si>
  <si>
    <t>We required dimension of the camera and the distance between the cameras</t>
  </si>
  <si>
    <t>Isometric Cooler -22-USGR-F2</t>
  </si>
  <si>
    <t>Gondola</t>
  </si>
  <si>
    <t>Not available, We need exact dimensions</t>
  </si>
  <si>
    <t>Isometric gondola</t>
  </si>
  <si>
    <t>Camera (Tracking / security)</t>
  </si>
  <si>
    <t>Not available, We need exact property details</t>
  </si>
  <si>
    <t>Rectangle/round</t>
  </si>
  <si>
    <t>Daisy chain</t>
  </si>
  <si>
    <t>We need properties details</t>
  </si>
  <si>
    <t>Arc</t>
  </si>
  <si>
    <t>Camera inter-connection</t>
  </si>
  <si>
    <t>Mail subject</t>
  </si>
  <si>
    <t>Input</t>
  </si>
  <si>
    <t>Common/Specific store</t>
  </si>
  <si>
    <t>Update</t>
  </si>
  <si>
    <t>13/1/2025</t>
  </si>
  <si>
    <t>Camera layout in LibreCAD</t>
  </si>
  <si>
    <t>HMHW - Cypress</t>
  </si>
  <si>
    <t>Pls make the background of the diagram to be white, and the drawings to be black. This will be consistent with all the standard ELPs</t>
  </si>
  <si>
    <t>Common</t>
  </si>
  <si>
    <t>Krishna</t>
  </si>
  <si>
    <t>Cameras layer is off by 90 degrees. Pls rotate the cameras (and daisy chain) layer anti-clockwise by 90 degrees. T01 should be right on top of the turnstile.</t>
  </si>
  <si>
    <t>18/1/2025</t>
  </si>
  <si>
    <t>CAD ELP creation -slc</t>
  </si>
  <si>
    <t>The ELP should list the bulkhead width (~2') and height off the ground (9') as those are important to our camera placement.</t>
  </si>
  <si>
    <t>Specific</t>
  </si>
  <si>
    <t>18/1/2026</t>
  </si>
  <si>
    <t>We need to include the necessary information for laying out the cameras, including the approximate locations and dimensions of the coolers/gondolas, as well as the approximate positions of the hot food serving areas.</t>
  </si>
  <si>
    <t>20/1/2025</t>
  </si>
  <si>
    <t>Add the gondola and cooler drawings from slide.</t>
  </si>
  <si>
    <t>We won't have an exit turnstile so the turnstile image can be removed but leave the exit location.  Entrance turnstile openings are 36" so that's good.</t>
  </si>
  <si>
    <t>We need to add the vertical dimension for the span of cameras from t01 to  t03 above (4ft).  And then need to make the distances consistent, maybe always just show the minimum needed.</t>
  </si>
  <si>
    <t>Capital One - updated layouts</t>
  </si>
  <si>
    <r>
      <rPr>
        <b/>
        <sz val="11"/>
        <color rgb="FF000000"/>
        <rFont val="Cambria"/>
      </rPr>
      <t>Capital one</t>
    </r>
    <r>
      <rPr>
        <sz val="11"/>
        <color rgb="FF000000"/>
        <rFont val="Cambria"/>
      </rPr>
      <t xml:space="preserve"> - Chicken Tenders at 402, Federal Favorites at 402, District Favorites at 102, Federal Favorites 112.</t>
    </r>
  </si>
  <si>
    <t>The Q306 turnstiles are 4' 7" *deep*, not *wide*. Depth is from the front to the back.</t>
  </si>
  <si>
    <t>The configuration I requested was "1 standard + 1ADA", but it was not understood. There is only one entrance turnstile lane depicted in the drawings</t>
  </si>
  <si>
    <t>Edits for 402 stores</t>
  </si>
  <si>
    <r>
      <rPr>
        <b/>
        <sz val="11"/>
        <color rgb="FF000000"/>
        <rFont val="Cambria"/>
      </rPr>
      <t>Capital one</t>
    </r>
    <r>
      <rPr>
        <sz val="11"/>
        <color rgb="FF000000"/>
        <rFont val="Cambria"/>
      </rPr>
      <t xml:space="preserve"> - Federal Favorites at 402</t>
    </r>
  </si>
  <si>
    <t xml:space="preserve">t01 and t02 need to be right above the turnstile flaps, </t>
  </si>
  <si>
    <t xml:space="preserve">all the cameras need to be rotated to face up. </t>
  </si>
  <si>
    <t>Input shared through wattsapp</t>
  </si>
  <si>
    <r>
      <rPr>
        <b/>
        <sz val="11"/>
        <color rgb="FF000000"/>
        <rFont val="Cambria"/>
      </rPr>
      <t>Padres- Petco Park-</t>
    </r>
    <r>
      <rPr>
        <sz val="11"/>
        <color rgb="FF000000"/>
        <rFont val="Cambria"/>
      </rPr>
      <t xml:space="preserve">126 Ballpark Eats. 135 Ballpark Eats.
</t>
    </r>
  </si>
  <si>
    <t>Input presentation link:</t>
  </si>
  <si>
    <t>ELP for a new proposed store (Civeo)</t>
  </si>
  <si>
    <t>Civeo</t>
  </si>
  <si>
    <t>The text should be  legible.</t>
  </si>
  <si>
    <t>The Customer field of view(FOV) should cover the whole store</t>
  </si>
  <si>
    <t>we want 4 ft in front of the coolers to be free from turnstiles.</t>
  </si>
  <si>
    <t>ELP for a new proposed store Public Bar</t>
  </si>
  <si>
    <t>Turnstile Q306 flaps should be in the center and Z306 turnstile flaps should be in end.</t>
  </si>
  <si>
    <t>S no</t>
  </si>
  <si>
    <t>Overall Checklist</t>
  </si>
  <si>
    <t>Yes/ No</t>
  </si>
  <si>
    <t>Store sample image</t>
  </si>
  <si>
    <t> </t>
  </si>
  <si>
    <t>Exact dimension of the store &amp; walkable area</t>
  </si>
  <si>
    <t>Rough plan for the store such as - Hand sketch</t>
  </si>
  <si>
    <t xml:space="preserve">Guidance on where to place of the equipment </t>
  </si>
  <si>
    <t>Power &amp; network plan</t>
  </si>
  <si>
    <t>Signage plan</t>
  </si>
  <si>
    <t>Shelf Annotation plan</t>
  </si>
  <si>
    <t>Equipment Checklist</t>
  </si>
  <si>
    <t>Need/ No need</t>
  </si>
  <si>
    <t>Model of the equipment</t>
  </si>
  <si>
    <t>No of unit</t>
  </si>
  <si>
    <t>Facing angle</t>
  </si>
  <si>
    <t>Turnstile (Entry/Exit)</t>
  </si>
  <si>
    <t>No of Cooler</t>
  </si>
  <si>
    <t>No of Freezer</t>
  </si>
  <si>
    <t>No of Coffee wending machine</t>
  </si>
  <si>
    <t>No of Kiosk (Loyalty &amp; Receipt Machine)</t>
  </si>
  <si>
    <t>No of Gondola</t>
  </si>
  <si>
    <t>No of Snack shelves</t>
  </si>
  <si>
    <t>No of Hot Shelves</t>
  </si>
  <si>
    <t>Type of Camera</t>
  </si>
  <si>
    <t>yes</t>
  </si>
  <si>
    <t> yes</t>
  </si>
  <si>
    <t> Yes</t>
  </si>
  <si>
    <t> Need</t>
  </si>
  <si>
    <t> Z306 ADA +STD, Z306 ADA</t>
  </si>
  <si>
    <t> 2</t>
  </si>
  <si>
    <t>Need</t>
  </si>
  <si>
    <t>No need</t>
  </si>
  <si>
    <t> 0</t>
  </si>
  <si>
    <t> No need</t>
  </si>
  <si>
    <t>Rectangle</t>
  </si>
  <si>
    <t> 11+2</t>
  </si>
  <si>
    <t> 90'</t>
  </si>
  <si>
    <t>Sl.No</t>
  </si>
  <si>
    <t>Description</t>
  </si>
  <si>
    <t>Store details</t>
  </si>
  <si>
    <t>Anand was request to prepare a list of general questions to identify the inputs required for developing a 2D layout plan and generating an ELP for the stores</t>
  </si>
  <si>
    <t>Store Annotation training</t>
  </si>
  <si>
    <t>Training for store annotation</t>
  </si>
  <si>
    <t>Storyboard for retail store</t>
  </si>
  <si>
    <t>Create Storyboard animated video for retail store</t>
  </si>
  <si>
    <t>Gowtham N</t>
  </si>
  <si>
    <t>MNW10132</t>
  </si>
  <si>
    <t>Training for ELP- padress 126</t>
  </si>
  <si>
    <t>Training for ELP- MGI terminal D</t>
  </si>
  <si>
    <t>Training for ELP- MGI terminal B</t>
  </si>
  <si>
    <t>Training for ELP- MGI terminal C &amp; B</t>
  </si>
  <si>
    <t>https://docs.google.com/presentation/d/1sxOndw59A0tneA-HgLr55wwg3wepH8MbwTFFW8rzNAY/edit?slide=id.p#slide=id.p</t>
  </si>
  <si>
    <t xml:space="preserve">Training for ELP- MGI terminal C </t>
  </si>
  <si>
    <t>Training for ELP- CWMP North Plan &amp;
CWMP South Plan</t>
  </si>
  <si>
    <t>Training for ELP-NRG Model 1&amp;
NRG Model 2</t>
  </si>
  <si>
    <t>Training for ELP-NRG Model 3</t>
  </si>
  <si>
    <t>Training for ELP- Public Bar &amp;
Chicken Tenders 402 &amp; Federal Favorites 402</t>
  </si>
  <si>
    <t>MGI Terminal C</t>
  </si>
  <si>
    <t>Anand request to create an ELP for client Presentation and shared input. The final output
has been shared with Anand through Whatsapp
Training for ELP - District Favorite 102 &amp; 
Federal Favorites 112</t>
  </si>
  <si>
    <t>https://docs.google.com/presentation/d/1OI6CBo_IDA8ewS8zf5sRY-r8Lh0LLTmU4aolMFgALno/edit?slide=id.p#slide=id.p</t>
  </si>
  <si>
    <t>MGI Terminal C
&amp;
Camera Mount</t>
  </si>
  <si>
    <t>Anand request to modify an ELP for client Presentation and shared input. The final output
has been shared with Anand through Whatsapp. Camera mount input was shared by Anand through Whatsapp and final output dxf file has been shared through Whatsapp
Training for ELP - Pepsi Grab &amp; Go</t>
  </si>
  <si>
    <t>https://docs.google.com/presentation/d/1OI6CBo_IDA8ewS8zf5sRY-r8Lh0LLTmU4aolMFgALno/edit?slide=id.g3699a812f5d_0_5#slide=id.g3699a812f5d_0_5
https://docs.google.com/presentation/d/1RUbv6UoOcUt1bMuuZKMZDqgAhouNez89QmX21KH4VA4/edit?slide=id.g369b36fe1f7_2_9#slide=id.g369b36fe1f7_2_9</t>
  </si>
  <si>
    <t>Camera Mount</t>
  </si>
  <si>
    <t>Anand request to  create camera mount 3D model in cad.onshape.com website. The final output 3D model has been shared to Anand and also the ELP presentation shared through Whatsapp</t>
  </si>
  <si>
    <t>https://docs.google.com/presentation/d/1RUbv6UoOcUt1bMuuZKMZDqgAhouNez89QmX21KH4VA4/edit?slide=id.g369c2b1f813_0_31#slide=id.g369c2b1f813_0_31</t>
  </si>
  <si>
    <t>https://docs.google.com/presentation/d/1iga3HCaqX3gsZ61WA8MIUCIQjiea-L4bpgB2sviAOEg/edit?slide=id.p#slide=id.p</t>
  </si>
  <si>
    <t>https://docs.google.com/presentation/d/1w2xPVpx6lUVOnPpOLYfjlB1EbFz6kw1CLeu2JbjNUO4/edit?slide=id.g369c7b6c899_0_8#slide=id.g369c7b6c899_0_8</t>
  </si>
  <si>
    <t>https://cad.onshape.com/documents/48d30745c607a430c2e5c73c/w/7d9938639c4370dcff361e2f/e/34fa6acb1c1a523f0583fea0</t>
  </si>
  <si>
    <t xml:space="preserve">MGI Terminal C
&amp;
Turnstile </t>
  </si>
  <si>
    <t>Anand request to modify an ELP for client Presentation and share input.The final output has been shared with Anand through Whatsapp. Anand request to create 3D model for Z306 turnstile and Q306 turnstile in cad onshape.com</t>
  </si>
  <si>
    <t>https://docs.google.com/presentation/d/1OI6CBo_IDA8ewS8zf5sRY-r8Lh0LLTmU4aolMFgALno/edit?slide=id.g3699a812f5d_0_225#slide=id.g3699a812f5d_0_225</t>
  </si>
  <si>
    <t>https://docs.google.com/presentation/d/1Ts-xD6Hz3H5rtA7wCJptmU-_vjpDq5qvQTBkR4Srlso/edit?slide=id.p#slide=id.p</t>
  </si>
  <si>
    <t>https://cad.onshape.com/documents/307ea72654e942afcbbe5b40/w/a5668f6f56e3e46a451ae23b/e/69d5866a8a62c093241c8ad2?renderMode=0&amp;uiState=685e8e30c4bb9e3bfb94300a</t>
  </si>
  <si>
    <t>`</t>
  </si>
  <si>
    <t>https://cad.onshape.com/documents/59ecc740c4ef06229556895b/w/f659e7ca2e2800598b73684d/e/8368c8c2be72adcc72dd1d5e?renderMode=0&amp;uiState=685e8e46e2b2e65f38d7c8a6</t>
  </si>
  <si>
    <t xml:space="preserve">Anand request to create an 3D Model for equipment &amp; turnstile in cad onshape.com. The final output has been shared to Anand. </t>
  </si>
  <si>
    <t xml:space="preserve">Anand request to create an 3D Model for Zippin Lane Standard ELP in cad onshape.com. The final output has been shared to Anand. </t>
  </si>
  <si>
    <t xml:space="preserve">Capital one Arena - 
District Favorites 102
and 
Pepsi Grab and Go 
Store 3D Model </t>
  </si>
  <si>
    <t xml:space="preserve">Anand request to create an ELP for District Favorites 102 for client presentation. Anand request to create an 3D Model for Zippin Lane Standard ELP in cad onshape.com. The final output has been shared to Anand. </t>
  </si>
  <si>
    <t>https://docs.google.com/presentation/d/1we7dObwxW4ng5r0ppk60szJc971rrqvGAWmJliV-NNI/edit?slide=id.g36a00600d67_0_0#slide=id.g36a00600d67_0_0</t>
  </si>
  <si>
    <t xml:space="preserve">Capital one Arena - 
District Favorites 102
</t>
  </si>
  <si>
    <t xml:space="preserve"> Anand request to create an 3D Model for District Favorites 102 Store in cad onshape.com. The final output has been shared to Anand. </t>
  </si>
  <si>
    <t>https://docs.google.com/presentation/d/1H6b
qGpbcUfzOwNPfp5-hh74uMQ32gSIVRooqx8AN
wYk/edit?slide=id.p#slide=id.p</t>
  </si>
  <si>
    <t>Create SOP document for
Onshape software</t>
  </si>
  <si>
    <t>https://docs.google.com/presentation/d/12VMAs0hXsHsHhlMKPiBWj8be8zqzfoW6CeKZoLNma-4/edit?slide=id.g36c7cfaf23a_0_296#slide=id.g36c7cfaf23a_0_296</t>
  </si>
  <si>
    <t>https://docs.google.com/presentation/d/12VMAs0hXsHsHhlMKPiBWj8be8zqzfoW6CeKZoLNma-4/edit?slide=id.g36c7cfaf23a_0_49#slide=id.g36c7cfaf23a_0_49</t>
  </si>
  <si>
    <t>https://docs.google.com/document/d/1_06_vxiMpalRteC8oJhYuVpYo5nu6xRCxirZbz5lU68/edit?tab=t.0</t>
  </si>
  <si>
    <t>Create Cevio store 3D Model in cad.onshape.com and create 3D Models for equipments and camera in cad.onshape.com</t>
  </si>
  <si>
    <t>https://cad.onshape.com/documents/fdcdfc9d7e23b3a12aad73a5/w/9ac67d32617f4aa6745322df/e/8984e6564de24ecd5ac7ae32?renderMode=0&amp;uiState=686cff17bffb5d09b6679e0e</t>
  </si>
  <si>
    <t>https://docs.google.com/presentation/d/1Ts-xD6H
z3H5rtA7wCJptmU-_vjpDq5qvQTBkR4Srlso/edit?s
lide=id.g36ba564c0c5_0_14#slide=id.g36ba564
c0c5_0_14</t>
  </si>
  <si>
    <t xml:space="preserve">Create MGI Terminal B store 3D Model in cad.onshape.com </t>
  </si>
  <si>
    <t>https://cad.onshape.com/documents/b9344a704
4acc0de0f742920/w/eb88daa1b5f1be85ac6ed99
4/e/3aeb055cdf27c8f51297ca85?renderMode=0
&amp;uiState=686e5193b1b1eb3d6f78f79e</t>
  </si>
  <si>
    <t>Create Chicken tender 402 store 3D Model in cad.onshape.com</t>
  </si>
  <si>
    <t>https://cad.onshape.com/documents/0c0d6098fed99f578385fbfb/w/932750ac70fa8cab34a4c94e/e/e3246d92d0be8f7b2ec32a33?renderMode=0&amp;uiState=686fa93fea8abf351196978b</t>
  </si>
  <si>
    <t>Training for Exception Handling</t>
  </si>
  <si>
    <t>Create Federal Favorites 112 store 3D Model in cad.onshape.com</t>
  </si>
  <si>
    <t>https://cad.onshape.com/documents/8e7ad31487752209c5cc228e/w/8427532e7bda6b24965e63cb/e/3bee9e01f5b2c1c3b4788a88?renderMode=0&amp;uiState=6874f420c9f63a22db8ba207</t>
  </si>
  <si>
    <t xml:space="preserve">Anand request to create an ELP for client Presentation and shared input. The final output has been shared to Anand.  </t>
  </si>
  <si>
    <t xml:space="preserve">Aerostar </t>
  </si>
  <si>
    <t>https://docs.google.com/presentation/d/14E1KqUHFHUSYIlFWuXB-GztKf1M2rhL2o08e4gLy41c/edit?slide=id.g370d0714745_0_1#slide=id.g370d0714745_0_1</t>
  </si>
  <si>
    <t>https://docs.google.com/presentation/d/1mdLwki
bwltw28IgQ1fRIZutMXrAUOHY1hZZkm9g1XYA/edit
?slide=id.p#slide=id.p</t>
  </si>
  <si>
    <t>https://docs.google.com/presentation/d/1U9JJIbG
AYJW9D9mcqoEcDQdmh6qt0PYEzQHwf4NIw38
/edit?slide=id.p#slide=id.p</t>
  </si>
  <si>
    <t>Aerostar
&amp;
SAP Mart</t>
  </si>
  <si>
    <t xml:space="preserve">Anand and Krishna conducted meeting for Aerostar Store ELP. Anand request to create an SAP Mart ELP for client Presentation and shared input. The final output has been shared to Anand.  </t>
  </si>
  <si>
    <t>https://docs.google.com/presentation/d/1mdLwkibwltw28IgQ1fRIZutMXrAUOHY1hZZkm9g1XYA/edit?slide=id.g36f64ccf516_0_9#slide=id.g36f64ccf516_0_9</t>
  </si>
  <si>
    <t>https://docs.google.com/presentation/d/1U9JJIbGAYJW9D9mcqoEcDQdmh6qt0PYEzQHwf4NIw38/edit?slide=id.g36f5ad442fd_0_1#slide=id.g36f5ad442fd_0_1</t>
  </si>
  <si>
    <t>https://docs.google.com/presentation/d/1mB9eIQ
GxdGlZzVsoFrbW57T8mX94mk2ji6FZuJ2uYjg/edit?
slide=id.p#slide=id.p</t>
  </si>
  <si>
    <t xml:space="preserve">Anand request to create an SAP Mart Store ELP for client Presentation and shared input. The final output has been shared through email to Anand.  </t>
  </si>
  <si>
    <t>https://docs.google.com/presentation/d/1mB9eIQGxdGlZzVsoFrbW57T8mX94mk2ji6FZuJ2uYjg/edit?slide=id.g36f29e9047d_0_0#slide=id.g36f29e9047d_0_0</t>
  </si>
  <si>
    <t>https://docs.google.com/presentation/d/1gEaU_F5
AYFKe0u6uI8n7_Txd15gC20_L_Krm3F51ZKM/edit?
slide=id.g37120be9ba6_0_24#slide=id.g37120be
9ba6_0_24</t>
  </si>
  <si>
    <t xml:space="preserve">
SAP Mart</t>
  </si>
  <si>
    <t xml:space="preserve">Anand request to create an SAP Mart Store 3D Model ELP for client Presentation and shared input. The final output has been shared through to Anand.  </t>
  </si>
  <si>
    <t>https://docs.google.com/presentation/d/15yxObcGYc_pHPwzgOZg48Cx3zIlpjBc3v4ZQb7NELdQ/edit?slide=id.g37170281507_0_9#slide=id.g37170281507_0_9</t>
  </si>
  <si>
    <t>SAP Mart 3D Model Store was make some changes for client Presentation</t>
  </si>
  <si>
    <t xml:space="preserve">Anand request to create a Network Rack 3D Model for ELP Presentation and shared input. </t>
  </si>
  <si>
    <t>Capital One - 432
Capital One - 402
Capital One - 200</t>
  </si>
  <si>
    <t xml:space="preserve">Anand request to create an Capital One - 432, 402, 200 store ELP for client Presentation and shared input. The final output has been shared through to Anand.  </t>
  </si>
  <si>
    <t>https://docs.google.com/presentation/d/1WzD9FuRkxuwtYM9iYdlTAClL_Wv1rENAbVs8mlGVjVw/edit?slide=id.p#slide=id.p</t>
  </si>
  <si>
    <t>https://docs.google.com/presentation/d/1IGiy30gnfSYA
OwixpqYriw-1nZwW7PVFpHsZOl15Xqk/edit?slide=id.p#
slide=id.p</t>
  </si>
  <si>
    <t>https://docs.google.com/presentation/d/1HKcZJQGgJ-l
gH-AfXLHV6uCoHETQwyntnyz65DWRnOs/edit?slide=i
d.p#slide=id.p</t>
  </si>
  <si>
    <t>Anand was requested to modify the Capital One ELP for stores 432, 402, and 200 for the client presentation and provided with input. The final version has been shared with Anand.</t>
  </si>
  <si>
    <t>https://docs.google.com/presentation/d/1HKcZJQGgJ-lgH-AfXLHV6uCoHETQwyntnyz65DWRnOs/edit?slide=id.p#slide=id.p</t>
  </si>
  <si>
    <t>Elior Store</t>
  </si>
  <si>
    <t>Anand was request to create an Elior Store ELP for the client presentation and provided the necessary input. The final version has been emailed to Anand.</t>
  </si>
  <si>
    <t>Anand was request to create an Elior Store 3D Model in cad.Onshape.com. The final version has been shared to Anand.</t>
  </si>
  <si>
    <t>Anand was request to create an Capital One - 402, 432, 200 Store 3D Model in cad.Onshape.com. The final version has been shared to Anand.</t>
  </si>
  <si>
    <t>https://docs.google.com/presentation/d/11icvMeVcMN9
JIRCnwMu_y0S1NM9H46vr_t_dxAeoofo/edit?slide=id.p
#slide=id.p</t>
  </si>
  <si>
    <t>https://docs.google.com/presentation/d/1rg05UOdrg-fu
PY7iIMxn0O9w6yk6bLLf51t2FzpbYGA/edit?slide=id.p
#slide=id.p</t>
  </si>
  <si>
    <t xml:space="preserve">Capital One - 432
Capital One - 402
</t>
  </si>
  <si>
    <t>Capital One - 402 and 432 store equipment input was not provided. Therefore, Anand was instructed to include the 3D Model equipment based on the available input dimensions, ensuring that all equipment fits within  the provided space constraints. The final version has been shared to Anand.</t>
  </si>
  <si>
    <t>Anand was requested to modify the dimensions of the Elior store cameras and provided with the necessary input for the store. The finalized output has been shared with Anand via email.</t>
  </si>
  <si>
    <t>Create 3D model turnstiles and equipments for their standard dimensions in cad.onshape.com for use to apply the upcoming stores.</t>
  </si>
  <si>
    <t>https://docs.google.com/presentation/d/1Ts-xD6Hz3H5rtA7wCJptmU-_vjpDq5qvQTBkR4Srlso/edit?slide=id.g36b8edd811c_0_0#slide=id.g36b8edd811c_0_0</t>
  </si>
  <si>
    <t>Create 3D model Public Bar Store in cad.Onshape.com</t>
  </si>
  <si>
    <t>https://cad.onshape.com/documents/ce19b3cfb91eba0fe553a610/w/ed17792120c56a2dadd0f920/e/54dba0c0dcdb6434e98cb979?renderMode=0&amp;uiState=689731f89112844855f16617</t>
  </si>
  <si>
    <t>Create 3D Model of Pepsi Grap and Go store and Federal Favorites 402 Store in cad.Onshape.com</t>
  </si>
  <si>
    <t>https://docs.google.com/presentation/d/1l4gVdWzoWR
ud1xaTgip4MzXhYvIcVmr-LkmfACky3OM/edit?slide=id.p
#slide=id.p</t>
  </si>
  <si>
    <t>Create 3D Model of MGI Terminal C store and Elior Store in cad.Onshape.com</t>
  </si>
  <si>
    <t>Create 3D Model of CWMP North Plan store and CWMP South Plan Store in cad.Onshape.com</t>
  </si>
  <si>
    <t>Create 3D Model of Padress petco park 126 store and Padress petco park 135 Store in cad.Onshape.com</t>
  </si>
  <si>
    <t>Create 3D Model of NRG - Model 1 &amp; NRG - Model 2 Store in cad.Onshape.com</t>
  </si>
  <si>
    <t>Anand was request to modify the capital one - 200 store and shared input. The final output has been shared with Anand via Email.</t>
  </si>
  <si>
    <t>Create 3D Model of Capital One - 200  Store in cad.Onshape.com</t>
  </si>
  <si>
    <t>Create 3D Model of HMHW Cypress  Store in cad.Onshape.com</t>
  </si>
  <si>
    <t>Anand was request to create a Royal 1 Base 3 Pack store and shared input. The final output has been shared with Anand via Email.</t>
  </si>
  <si>
    <t>https://docs.google.com/presentation/d/1BGRb-Kma4DpeknNpOB81F4_8NxCNVuXruaHQ7817FTY/edit?slide=id.p#slide=id.p</t>
  </si>
  <si>
    <t>Anand was requested to create both 2D and 3D models of the Royal 1 Base 3 Pack Store in two different styles for the client presentation. Based on the shared input, the models were developed accordingly. The final output has been reviewed and shared with Anand via email.</t>
  </si>
  <si>
    <t>https://docs.google.com/presentation/d/1_oMpjbktz4_3
TWD2bqqU7FFLw3n-IljtxeRwgXPwT3E/edit?slide=id.p
#slide=id.p</t>
  </si>
  <si>
    <t>Anand was requested to create 3D models of the Royal 1 Base 3 Pack Store in two different styles for the client presentation. The final output has been reviewed and shared to Anand.</t>
  </si>
  <si>
    <t>LLT - Magnum Store</t>
  </si>
  <si>
    <t>Anand was requested to create a LLT - Magnum Store ELP  for the client presentation and shared Input. The final output has been reviewed and shared to Anand.</t>
  </si>
  <si>
    <t>Anand was requested to create a LLT - Magnum Store 3D Model ELP  for the client presentation. The final output has been reviewed and shared to Anand.</t>
  </si>
  <si>
    <t>Anand was requested to modify the Royal 1 Base 3 Pack Store 3D Model ELP  for the client presentation. The final output has been reviewed and shared to Anand.</t>
  </si>
  <si>
    <t>https://docs.google.com/presentation/d/1_oMpjbktz4_3TW
D2bqqU7FFLw3n-IljtxeRwgXPwT3E/edit?slide=id.p#sli
de=id.p</t>
  </si>
  <si>
    <t>Modify the Royal 1 Base 3 Pack Store 3D Model ELP.</t>
  </si>
  <si>
    <t xml:space="preserve">Create Royal 1 Base 3 Pack Store 3D Model using Sketchup online Website tool for Demo purpose. </t>
  </si>
  <si>
    <t>https://docs.google.com/presentation/d/1_EqfXSKO595nUy8oZ9VBx9gg0WjapijCqkJkLYA_d-8/edit?slide=id.p#slide=id.p</t>
  </si>
  <si>
    <t>Analyzing the launched retail stores Map insights that can inform future expansion decisions.</t>
  </si>
  <si>
    <t>Create 3D Model demo store in Cad.Onshape.com for recording video in perspective view for presentation purpose.</t>
  </si>
  <si>
    <t>Create a 2D layout of Zippin Production Stores using  LibreCad for planning and visualization of the store's
 operational workflow and spatial arrangement.</t>
  </si>
  <si>
    <t>HMWB_South</t>
  </si>
  <si>
    <t>Anand was requested to create a HMWB_South Store ELP  for the client presentation and shared Input. The final output has been reviewed and shared with Anand via email.</t>
  </si>
  <si>
    <t>Anand was requested to create a MCG Bar-1-19 Store ELP  for the client presentation and shared Input. The final output has been reviewed and shared with Anand via email.</t>
  </si>
  <si>
    <t>https://docs.google.com/presentation/d/1t-RM6HzGy71etxVqRU0OgFFEnRQ0T2vt3ZZS4NbddTY/edit?slide=id.p#slide=id.p</t>
  </si>
  <si>
    <t>Anand was requested to modify the MCG Bar-1-19 Store and also create 3D Model ELP  for the client presentation and shared Input. The final output has been reviewed and shared with Anand.</t>
  </si>
  <si>
    <t xml:space="preserve">Manulife Toronto </t>
  </si>
  <si>
    <t>Anand was requested to create a Manulife Toronto Store ELP  for the client presentation and shared Input. The final output has been reviewed and shared with Anand via email.</t>
  </si>
  <si>
    <t>Anand was requested to create a camera plan for Manulife Toronto Store ELP  for the client presentation and shared Input. The final output has been reviewed and shared with Anand via email.</t>
  </si>
  <si>
    <t>Anand was requested to modify the camera plan and 3d Model for Manulife Toronto Store ELP  for the client presentation and shared Input. The final output has been reviewed and shared with Anand via email.</t>
  </si>
  <si>
    <t>Royal 1 Base 3 Pack &amp; MGI Terminal C</t>
  </si>
  <si>
    <t>Anand was requested to modify the Royal 1 Base 3 Pack &amp; MGI Terminal C Store 3D Model ELP  for the client presentation. The final output has been reviewed and shared to Anand.</t>
  </si>
  <si>
    <t>https://docs.google.com/presentation/d/1mQfqKUlYow3j6
mz75E9d0Lz3qXKk84LEbvqVSYWHuUU/edit?slide=id.p
#slide=id.p</t>
  </si>
  <si>
    <t>MCG Bar-1-19 
&amp;
MCG Bar - 155</t>
  </si>
  <si>
    <t>Anand was requested to create a MCG Bar-1-19 &amp; MCG Bar - 155 Store ELP  for the client presentation and shared Input. The final output has been reviewed and shared with Anand.</t>
  </si>
  <si>
    <t>Royal 1 Base 3 Pack &amp; MCG Bar-1-19 &amp; MCG Bar - 155</t>
  </si>
  <si>
    <t>Anand was requested to modify the Royal 1 Base 3 Pack &amp; MCG Bar 119, MCG Bar 155 Store ELP  for the client presentation. The final output has been reviewed and shared to Anand.</t>
  </si>
  <si>
    <t>MCG Bar-119 Version 2</t>
  </si>
  <si>
    <t>Create the  MCG Bar-119 version 2 Store 3D Model ELP for the client presentation.</t>
  </si>
  <si>
    <t>Create the  MCG Bar-155 Store 3D Model ELP for the client presentation.</t>
  </si>
  <si>
    <t>Barclays-mkt-127 
&amp;
Brightline Aventura</t>
  </si>
  <si>
    <t>Create Barclays-mkt-127 &amp; Brightline Aventura store 2D Plan layout using libre cad for our internal purpose.</t>
  </si>
  <si>
    <t>Amex US
&amp;
Legoland store</t>
  </si>
  <si>
    <t>Create Amex US &amp; Legoland store 2D Plan layout using libre cad for our internal purpose.</t>
  </si>
  <si>
    <t>Barclays-mkt-121
&amp;
Bo-market</t>
  </si>
  <si>
    <t>Create Barclays-mkt-121 &amp; Bo-market store 2D Plan layout using libre cad for our internal purpose.</t>
  </si>
  <si>
    <t>Padress Grab and Go-117
&amp;
MGI Caribe SJU-a5</t>
  </si>
  <si>
    <t>Create Padress Grab and Go-117 &amp; MGI Caribe SJU-a5 store 2D Plan layout using libre cad for our internal purpose.</t>
  </si>
  <si>
    <t>Reliance-lane
&amp;
Chile-codelco mine</t>
  </si>
  <si>
    <t>Create Reliance-lane &amp; Chile codelco-mine store 2D Plan layout using libre cad for our internal purpose.</t>
  </si>
  <si>
    <t>Anand was requested to modify the MCG Bar 119, MCG Bar 155 Store ELP  for the client presentation. The final output has been reviewed and shared to Anand.</t>
  </si>
  <si>
    <t>https://docs.google.com/presentation/d/1Hlf7-mAN4mZ
W2GZh9kNtpjOpUHAg3rRyIsM8ZxIxPOQ/edit?slide=id.p
#slide=id.p</t>
  </si>
  <si>
    <t>Houston Methodist Willowbrook - South Tower, MCG Bar-1-19 
&amp;
MCG Bar - 155</t>
  </si>
  <si>
    <t>Camera Plan Changes</t>
  </si>
  <si>
    <t>Anand was requested to modify the camera plan of HMWB_South Tower, MCG Bar 119, and MCG Bar 155 Store ELP for the client presentation and provided the necessary input. The final output has been reviewed and shared with Anand via email.</t>
  </si>
  <si>
    <t>https://docs.google.com/presentation/d/1yyc8piftoSmhs
D7AhfjntfUciVeuWtOEN81C2SayRPY/edit?slide=id.p#s
lide=id.p</t>
  </si>
  <si>
    <t>https://docs.google.com/presentation/d/1Hlf7-mAN4
mZW2GZh9kNtpjOpUHAg3rRyIsM8ZxIxPOQ/edit?slide
=id.p#slide=id.p</t>
  </si>
  <si>
    <t>Toyota centre 415</t>
  </si>
  <si>
    <t xml:space="preserve">Create Toyota centre 415 store 3D Model using cad.Onshape.com </t>
  </si>
  <si>
    <t>https://cad.onshape.com/documents/abd9e1def78ee1f04611b381/w/aa3c78818042456c1973deac/e/fd5ff467b68a5faf6181e0d3?renderMode=0&amp;uiState=68e50541ba24e42649c33b6b</t>
  </si>
  <si>
    <t>Energizer Park SLC-423w, 423e &amp; 426</t>
  </si>
  <si>
    <t>Create a 2D plan layout of the Energizer Park SLC-423W, 423E, and 426 stores using LibreCAD for internal use.</t>
  </si>
  <si>
    <t>Eli-lilly-boston quickeats, Germany-mc-sap &amp; HMHW Quickeats</t>
  </si>
  <si>
    <t>Create a 2D plan layout of the Eli-lilly-boston quickeats, Germany-mc-sap &amp; HMHW Quickeats stores using LibreCAD for internal use.</t>
  </si>
  <si>
    <t>Anand was requested to create a Zippin Lane C27 DFW Store 3D ELP for the client presentation and was provided with the necessary input. The final output has been reviewed and shared with Anand. Anand also conducted a Zoom meeting with Prasanna Kumar, during which we discussed the camera mount design. Prasanna shared some camera mount PNG files for our reference.</t>
  </si>
  <si>
    <t>Anand was requested to modify the Zippin Lane C27 
DFW Store 3D Model ELP for the client presentation 
and was provided with the necessary input. The final 
output has been reviewed and shared with Anand.</t>
  </si>
  <si>
    <t>Coolers</t>
  </si>
  <si>
    <t>Anand was requested to create different types of coolers in cad.Onshape.com and was provided with the necessary input. The final output has been reviewed and shared with Anand.</t>
  </si>
  <si>
    <t>Network rack</t>
  </si>
  <si>
    <t>Anand was requested to create 3D models of different 
types of network racks and coolers using CAD on 
Onshape.com for the ELP presentation.</t>
  </si>
  <si>
    <t>Daisy chain plan</t>
  </si>
  <si>
    <t>Anand was requested to modify the MCG Bar 119, MCG Bar 155 Store Daisy chain plan ELP  for the client presentation. The final output has been reviewed and shared to Anand.</t>
  </si>
  <si>
    <t>Camera mount</t>
  </si>
  <si>
    <t>Create 3D model camera mount design.</t>
  </si>
  <si>
    <t>https://cad.onshape.com/documents/b948bb5616f241195e268e84/w/331981d38b3f5d48fddcc327/e/3e210990f598f8ae18fbb02e?renderMode=0&amp;uiState=68f0d7708a40ca1ad0ddf5b4</t>
  </si>
  <si>
    <t>SOP</t>
  </si>
  <si>
    <t>Create SOP for Onshape 3D Model</t>
  </si>
  <si>
    <t>Toyota centre 114</t>
  </si>
  <si>
    <t>Create demo store 3D model in Onshape.</t>
  </si>
  <si>
    <t>https://cad.onshape.com/documents/abd9e1def78ee1f04611b381/w/aa3c78818042456c1973deac/e/4d6f576312d870a8b30e70df?renderMode=0&amp;uiState=68f8c627fffe901791c44433</t>
  </si>
  <si>
    <t>Report Work</t>
  </si>
  <si>
    <t>New Store ELP</t>
  </si>
  <si>
    <t>Anand was requested to create a Ohio University-Baker Center new store ELP for client presentation and shared the PNG file input. The final output has been reviewed and shared via email.</t>
  </si>
  <si>
    <t>New Store 3D Model</t>
  </si>
  <si>
    <t>A 3D model of the new Ohio University–Baker Center 
store has been created for the client presentation. The
 final output has been reviewed and shared with Anand.</t>
  </si>
  <si>
    <t>https://cad.onshape.com/documents/4f14f89b899be0414e86f447/w/2e55ac010b84b073c296eaad/e/6ba78ec4003dfd3a40f0d979?renderMode=0&amp;uiState=68fcb7de8360a50150ed4e55</t>
  </si>
  <si>
    <t>Demo videos</t>
  </si>
  <si>
    <t>Recorded demo videos for Onshape 3D Model</t>
  </si>
  <si>
    <t>Create 2d layout of mc-careleton-qe Zippin production stores using librecad</t>
  </si>
  <si>
    <t>FreeCAD</t>
  </si>
  <si>
    <t>Explore FreeCAD tool training for create stores in 3D model</t>
  </si>
  <si>
    <t xml:space="preserve">New Store ELP except
camera plan </t>
  </si>
  <si>
    <t>Anand was requested to create a MCG Bar-1-05 new store ELP for client presentation and shared the PNG file input. The final output has been reviewed and shared via email.</t>
  </si>
  <si>
    <t>Autodesk Fusion 360</t>
  </si>
  <si>
    <t>Explore Autodesk Fusion 360 tool training for create stores in 3D model</t>
  </si>
  <si>
    <t>Camera plan update</t>
  </si>
  <si>
    <t>Anand shared the camera plan for MCG Bar 1-05 store to modify the ELP plan. The final output has been reviewed and shared via email.</t>
  </si>
  <si>
    <t>MCG Bar-119 
&amp;
MCG Bar - 155</t>
  </si>
  <si>
    <t>Anand shared the camera plan for MCG Bar 119, MCG Bar 155 Store to modify the ELP plan for the client presentation. The final output has been reviewed and shared to Anand.</t>
  </si>
  <si>
    <t>Rogers centre-
Zippin lane</t>
  </si>
  <si>
    <t>New store 3D model</t>
  </si>
  <si>
    <t>Anand was request to create a Rogers centre-Zippin lane 3D model for client presentation and shared the input. The final output has been shared to Anand.</t>
  </si>
  <si>
    <t>New store ELP</t>
  </si>
  <si>
    <t>Anand was request to create a Rogers centre-Zippin lane new store ELP plan for client presentation and shared the input. The final output has been shared to Anand.</t>
  </si>
  <si>
    <t>Create SOP for Zippin store ELP</t>
  </si>
  <si>
    <t xml:space="preserve">Rogres Centre-
Zippin Lane </t>
  </si>
  <si>
    <t>U type Camera mount added</t>
  </si>
  <si>
    <t>Anand was request to create a 3D model U-type camera mount for Rogers centre-Zippin lane store for client presentation and shared the input. The final output has been shared to Anand.</t>
  </si>
  <si>
    <t>MGI Terminal-C</t>
  </si>
  <si>
    <t>Camera Plan Uptated</t>
  </si>
  <si>
    <t>Anand was request to modify the camera plan for MGI Terminal C store for client presentation and shared the input. The final output has been shared to Anand.</t>
  </si>
  <si>
    <t>Rogers Centre-
Zippin Lane</t>
  </si>
  <si>
    <t>Camera mount
 updated</t>
  </si>
  <si>
    <t>Anand and Krishna was request to create a 3D model U-type camera mount for Rogers centre-Zippin lane store for client presentation and shared the input. The final output has been shared to Anand.</t>
  </si>
  <si>
    <t>https://cad.onshape.com/documents/9b15b753b54f085
a266e0c75/w/ffe9a584218f476146514127/e/20d7b9be
1924c4289f200249?renderMode=0&amp;uiState=6929934
f9aa4b85cf5ccc85f</t>
  </si>
  <si>
    <t>MCG Bar-133</t>
  </si>
  <si>
    <t>Existing store recreation ELP</t>
  </si>
  <si>
    <t>Anand was request to recreate a MCG Bar-133 existing store ELP plan for client presentation. The final output has been shared to Anand.</t>
  </si>
  <si>
    <t>https://docs.google.com/presentation/d/11xL1VEfBrLJYwexZoLreP_QlSzPLulNs5CsWzdPi9Ys/edit?slide=id.p#slide=id.p</t>
  </si>
  <si>
    <t>MCG Food-236</t>
  </si>
  <si>
    <t>Anand was request to recreate a MCG Food-236 existing store ELP plan for client presentation. The final output has been shared to Anand.</t>
  </si>
  <si>
    <t>https://docs.google.com/presentation/d/1IiV2YNbF9VnTe0eiFvgXM5QFZTd6lYb5t8lqWnjBHF4/edit?slide=id.p#slide=id.p</t>
  </si>
  <si>
    <t>Existing store 3D model</t>
  </si>
  <si>
    <t>Develop a 3D model of the existing MCG Bar-133 store
 for re-creation and documentation purposes</t>
  </si>
  <si>
    <t>https://cad.onshape.com/documents/779e301bfbeb68dcc93951a7/w/e441bd0af8000c7b011c978c/e/03392c0a981a077e0f7cac4f?renderMode=0&amp;uiState=6930219c63ffc5e7d1651387</t>
  </si>
  <si>
    <t>Onshape tutorial video recorded</t>
  </si>
  <si>
    <t>Recorded an District Favorite 102 store 3D model in  Onshape for a tutorial video for demo purposes.</t>
  </si>
  <si>
    <t>Daisy chain ELP changes</t>
  </si>
  <si>
    <t>Anand was request to change the Daisy chain ELP plan in Ohio University-Baker Center store. The final output has been shared to Anand.</t>
  </si>
  <si>
    <t>Turnstile ELP changes</t>
  </si>
  <si>
    <t>Anand was asked to make changes to the Turnstile ELP
 plan for the MCG Bar-1-05 store. Similar updates were 
applied to the ELP plans of the 7 existing stores. The final output has been shared with Anand.</t>
  </si>
  <si>
    <t>Anand was asked to make changes to the Turnstile ELP
 plan for the MCG Bar-1-05 store. Similar updates were 
applied to the ELP plans of the 11 existing stores. The final output has been shared with Anand.</t>
  </si>
  <si>
    <t>MGI Terminal C
&amp;
AAMI Park</t>
  </si>
  <si>
    <t>camera plan changes and New store ELP</t>
  </si>
  <si>
    <t>Anand was request to create new store ELP for AAMI Park store for client presentation.  The final output has been shared with Anand.</t>
  </si>
  <si>
    <t>https://docs.google.com/presentation/d/1b9kH4x1OPu8_Z0D5l_uMVaoUBIsj7y4DVrmFTsu247E/edit?slide=id.p#slide=id.p</t>
  </si>
  <si>
    <t>Turnstile ELP changes
&amp;
3D Model creation</t>
  </si>
  <si>
    <t>Anand asked for updates to the turnstile ELP at the
 AAMI Park store and also requested a 3D model of the
 store for an upcoming client presentation. The completed version has now been sent to him.</t>
  </si>
  <si>
    <t>Turnstile &amp; Daisy chain plan ELP changes</t>
  </si>
  <si>
    <t>Anand asked for updates to the turnstile ELP at the
MGI Terminal C &amp; AAMI Park store for an upcoming client presentation. The completed version has now been sent to him.</t>
  </si>
  <si>
    <t>https://docs.google.com/presentation/d/1cvz6P9fsKZ-mU
ZiL_4LkIv0kriR7Va8y/edit?slide=id.p1#slide=id.p1</t>
  </si>
  <si>
    <t>ELP changes</t>
  </si>
  <si>
    <t>Anand asked for updates to the ELP at the MGI Terminal C store for client presntation. The final output has been shared with Anand.</t>
  </si>
  <si>
    <t>Create SOP for Zippin Store ELP</t>
  </si>
  <si>
    <t>Network Rack
3D Model</t>
  </si>
  <si>
    <t>Anand was request to create a 3D Model for Network Rack and general notes for the adding the ELP plan for the client presentation.</t>
  </si>
  <si>
    <t>https://cad.onshape.com/documents/d89e17454091d3d2f5d2f36f/w/552036195a73e71044a5638e/e/9c21922392068ca82267ed17?renderMode=0&amp;uiState=69414e87da6d9a183847a63d</t>
  </si>
  <si>
    <t>Ohio University-
Baker Centre</t>
  </si>
  <si>
    <t xml:space="preserve">Turnstile changes </t>
  </si>
  <si>
    <t>Anand requested to update the turnstile ELP for the Ohio University–Baker Centre store by replacing the Q306 turnstile with the R3211 ADA turnstile.</t>
  </si>
  <si>
    <t>Create ELP General Notes Template</t>
  </si>
  <si>
    <t>Following Anand’s request, a standardized general notes
 template for ELP plans has been developed, and the
 output sheet has been sent to him.</t>
  </si>
  <si>
    <t>https://docs.google.com/spreadsheets/d/1s1Mtdlgvdy-zQw9iOXwwLKmDgc7RWn3hvYv-nxy6YqU/edit?gid=127426515#gid=127426515</t>
  </si>
  <si>
    <t>Animated video for
Retail store</t>
  </si>
  <si>
    <t>Create animated video retail store for client presemtation</t>
  </si>
  <si>
    <t>Turnstile ELP,  General Notes &amp; Instruction added</t>
  </si>
  <si>
    <t>Anand requested an update to the MCG Bar 1-05 store ELP plan by revising the general notes and adding installation instruction notes for the turnstile and Z-bar.</t>
  </si>
  <si>
    <t>ELP,  General Notes &amp; Install Instruction added</t>
  </si>
  <si>
    <t>Anand requested an update to the MCG Bar 1-05 store ELP plan by revising the general notes and adding installation instruction notes for the turnstile, camera and Z-bar</t>
  </si>
  <si>
    <t>https://docs.google.com/presentation/d/1LgpXNRoGJQ2
8GPWeBqy4iXQ2rg5evlk2xL5wEnuHrx0/edit?slide=id.g3a0722e8fad_0_6#slide=id.g3a0722e8fad_0_6</t>
  </si>
  <si>
    <t>Subtitle added for 
tutorial video</t>
  </si>
  <si>
    <t>Subtitle added for the recorded onshape 3D model
 tutorial video</t>
  </si>
  <si>
    <t>gillette-east-market</t>
  </si>
  <si>
    <t>2D layout
Internal use</t>
  </si>
  <si>
    <t>Create gillette-east-market store 2D Plan layout using libre cad for our internal purpose.</t>
  </si>
  <si>
    <t>Dimension alignment
changes</t>
  </si>
  <si>
    <t>Anand requests changing the turnstile camera dimension in the MCG Bar-1-05 store from the downward position to above the turnstile in the DXF file, and updating the same in the ELP plan.</t>
  </si>
  <si>
    <t>https://docs.google.com/presentation/d/1LgpXNRoGJ
Q28GPWeBqy4iXQ2rg5evlk2xL5wEnuHrx0/edit?slide=id.g3a0722e8fad_0_6#slide=id.g3a0722e8fad_0_6</t>
  </si>
  <si>
    <t>gillette-132 &amp; 
sec-25-gng</t>
  </si>
  <si>
    <t>Create gillette-132 &amp; sec-25-gng store 2D Plan layout using libre cad for our internal purpose.</t>
  </si>
  <si>
    <t>Anand was requested to prepare a list of general
questions to identify the inputs required for developing
a 2D layout plan and generating an ELP for the stores.</t>
  </si>
  <si>
    <t>Annotation training</t>
  </si>
  <si>
    <t>Storyboard video for
Retail store</t>
  </si>
  <si>
    <t>Create storyboard video retail store for client presemtation</t>
  </si>
  <si>
    <t>Count of Is it launched</t>
  </si>
  <si>
    <t>Grand Total</t>
  </si>
  <si>
    <t>Jan</t>
  </si>
  <si>
    <t>Feb</t>
  </si>
  <si>
    <t>Mar</t>
  </si>
  <si>
    <t>Apr</t>
  </si>
  <si>
    <t>May</t>
  </si>
  <si>
    <t>Jul</t>
  </si>
  <si>
    <t>Aug</t>
  </si>
  <si>
    <t>Sep</t>
  </si>
  <si>
    <t>Oct</t>
  </si>
  <si>
    <t>Nov</t>
  </si>
  <si>
    <t>Refinement</t>
  </si>
  <si>
    <t>ELP Received Count</t>
  </si>
  <si>
    <t>How many Launched</t>
  </si>
  <si>
    <t>How many Yet to Launched</t>
  </si>
  <si>
    <t>January</t>
  </si>
  <si>
    <t>Total</t>
  </si>
  <si>
    <t>February</t>
  </si>
  <si>
    <t>March</t>
  </si>
  <si>
    <t>April</t>
  </si>
  <si>
    <t>June</t>
  </si>
  <si>
    <t>July</t>
  </si>
  <si>
    <t>August</t>
  </si>
  <si>
    <t>September</t>
  </si>
  <si>
    <t>October</t>
  </si>
  <si>
    <t>November</t>
  </si>
  <si>
    <t>4/11/2025, 4/14/2025, 4/15/2025, 4/16/2025, 4/25/2025, 4/28/2025, , 5/14/2025, 5/22/2025</t>
  </si>
  <si>
    <t>December</t>
  </si>
  <si>
    <t>5/23/2025, 6/27/2025,9/17/2025,9/19/2025,
9/22/2025,11/28/2025, 12/11/2025</t>
  </si>
  <si>
    <t>Dec</t>
  </si>
  <si>
    <t>Ops HC Plan.xlsx</t>
  </si>
  <si>
    <t>S.No</t>
  </si>
  <si>
    <t>26/12/2025</t>
  </si>
  <si>
    <t>https://docs.google.com/presentation/d/1LgpXNRoGJQ28GPWeBqy4iXQ2rg5evlk2xL5wEnuHrx0/edit?slide=id.g3a0722e8fad_0_6#slide=id.g3a0722e8fad_0_6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</si>
</sst>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Aptos Narrow"/>
      <family val="2"/>
      <scheme val="minor"/>
    </font>
    <font>
      <u/>
      <sz val="11"/>
      <color theme="10"/>
      <name val="Aptos Narrow"/>
      <family val="2"/>
      <scheme val="minor"/>
    </font>
    <font>
      <sz val="11"/>
      <color theme="1"/>
      <name val="Cambria"/>
    </font>
    <font>
      <u/>
      <sz val="11"/>
      <color theme="10"/>
      <name val="Cambria"/>
    </font>
    <font>
      <sz val="11"/>
      <color rgb="FF000000"/>
      <name val="Cambria"/>
      <charset val="1"/>
    </font>
    <font>
      <b/>
      <sz val="11"/>
      <color theme="1"/>
      <name val="Cambria"/>
    </font>
    <font>
      <sz val="11"/>
      <color rgb="FF000000"/>
      <name val="Cambria"/>
    </font>
    <font>
      <sz val="12"/>
      <color rgb="FF000000"/>
      <name val="Cambria"/>
    </font>
    <font>
      <sz val="12"/>
      <color theme="1"/>
      <name val="Cambria"/>
    </font>
    <font>
      <b/>
      <sz val="11"/>
      <color rgb="FF000000"/>
      <name val="Cambria"/>
    </font>
    <font>
      <b/>
      <sz val="14"/>
      <color theme="1"/>
      <name val="Cambria"/>
    </font>
    <font>
      <b/>
      <sz val="12"/>
      <color theme="1"/>
      <name val="Cambria"/>
    </font>
    <font>
      <sz val="12"/>
      <color theme="1"/>
      <name val="Times New Roman"/>
      <family val="1"/>
      <charset val="1"/>
    </font>
    <font>
      <sz val="7"/>
      <color rgb="FF000000"/>
      <name val="Times New Roman"/>
    </font>
    <font>
      <sz val="12"/>
      <color rgb="FF000000"/>
      <name val="Times New Roman"/>
    </font>
    <font>
      <sz val="11"/>
      <color theme="10"/>
      <name val="Cambria"/>
    </font>
    <font>
      <b/>
      <sz val="10"/>
      <color rgb="FF000000"/>
      <name val="Cambria"/>
    </font>
    <font>
      <sz val="11"/>
      <color rgb="FF242424"/>
      <name val="Cambria"/>
    </font>
    <font>
      <sz val="11"/>
      <color rgb="FF2C363A"/>
      <name val="Cambria"/>
    </font>
    <font>
      <sz val="11"/>
      <color rgb="FF000000"/>
      <name val="Calibri"/>
      <family val="2"/>
      <charset val="1"/>
    </font>
    <font>
      <sz val="11"/>
      <color rgb="FF444444"/>
      <name val="Cambria"/>
    </font>
    <font>
      <b/>
      <sz val="11"/>
      <color rgb="FF000000"/>
      <name val="Cambria"/>
      <family val="1"/>
    </font>
    <font>
      <sz val="11"/>
      <color rgb="FF000000"/>
      <name val="Calibri"/>
    </font>
    <font>
      <sz val="11"/>
      <color rgb="FF000000"/>
      <name val="Cambria"/>
      <family val="1"/>
    </font>
    <font>
      <sz val="9"/>
      <color theme="1"/>
      <name val="Aptos Narrow"/>
      <family val="2"/>
      <scheme val="minor"/>
    </font>
    <font>
      <sz val="11"/>
      <color rgb="FF2C363A"/>
      <name val="Cambria"/>
      <charset val="1"/>
    </font>
    <font>
      <u/>
      <sz val="10"/>
      <color theme="10"/>
      <name val="Cambria"/>
    </font>
    <font>
      <sz val="9"/>
      <color theme="1"/>
      <name val="Cambria"/>
    </font>
    <font>
      <b/>
      <sz val="12"/>
      <color rgb="FF000000"/>
      <name val="Cambria"/>
    </font>
    <font>
      <b/>
      <sz val="12"/>
      <color rgb="FF000000"/>
      <name val="Cambria"/>
      <family val="1"/>
    </font>
    <font>
      <u/>
      <sz val="11"/>
      <color rgb="FF467886"/>
      <name val="Cambria"/>
    </font>
    <font>
      <sz val="11"/>
      <color theme="10"/>
      <name val="Aptos Narrow"/>
      <family val="2"/>
      <scheme val="minor"/>
    </font>
    <font>
      <b/>
      <sz val="12"/>
      <color rgb="FF1D1C1D"/>
      <name val="Poppins"/>
    </font>
    <font>
      <sz val="10"/>
      <color rgb="FF2C363A"/>
      <name val="Times New Roman"/>
      <charset val="1"/>
    </font>
    <font>
      <sz val="11"/>
      <color rgb="FF000000"/>
      <name val="Aptos Narrow"/>
      <charset val="1"/>
    </font>
    <font>
      <b/>
      <sz val="14"/>
      <color rgb="FFFFFFFF"/>
      <name val="Calibri"/>
    </font>
    <font>
      <sz val="14"/>
      <color rgb="FF000000"/>
      <name val="Calibri"/>
    </font>
    <font>
      <sz val="13.95"/>
      <color rgb="FF000000"/>
      <name val="Arial"/>
      <family val="2"/>
      <charset val="1"/>
    </font>
    <font>
      <b/>
      <sz val="10"/>
      <color theme="1"/>
      <name val="Trebuchet MS"/>
      <charset val="1"/>
    </font>
    <font>
      <sz val="10"/>
      <color theme="1"/>
      <name val="Arial"/>
      <charset val="1"/>
    </font>
    <font>
      <sz val="10"/>
      <color rgb="FF000000"/>
      <name val="Trebuchet MS"/>
      <charset val="1"/>
    </font>
    <font>
      <sz val="10"/>
      <color theme="1"/>
      <name val="Trebuchet MS"/>
      <charset val="1"/>
    </font>
    <font>
      <sz val="10"/>
      <color rgb="FF000000"/>
      <name val="Calibri"/>
      <charset val="1"/>
    </font>
    <font>
      <sz val="10"/>
      <color theme="1"/>
      <name val="Calibri"/>
      <charset val="1"/>
    </font>
    <font>
      <b/>
      <sz val="12"/>
      <color rgb="FF1D1C1D"/>
      <name val="Cambria"/>
    </font>
    <font>
      <b/>
      <sz val="11"/>
      <color theme="1"/>
      <name val="Aptos Narrow"/>
      <family val="2"/>
      <scheme val="minor"/>
    </font>
    <font>
      <sz val="10"/>
      <color rgb="FF000000"/>
      <name val="Aptos Narrow"/>
      <charset val="1"/>
    </font>
  </fonts>
  <fills count="17">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FF"/>
        <bgColor indexed="64"/>
      </patternFill>
    </fill>
    <fill>
      <patternFill patternType="solid">
        <fgColor rgb="FFC5D9F1"/>
        <bgColor rgb="FF000000"/>
      </patternFill>
    </fill>
    <fill>
      <patternFill patternType="solid">
        <fgColor theme="8" tint="0.39997558519241921"/>
        <bgColor indexed="64"/>
      </patternFill>
    </fill>
    <fill>
      <patternFill patternType="solid">
        <fgColor theme="3" tint="0.89999084444715716"/>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4472C4"/>
        <bgColor rgb="FF000000"/>
      </patternFill>
    </fill>
    <fill>
      <patternFill patternType="solid">
        <fgColor rgb="FFCFD5EA"/>
        <bgColor rgb="FF000000"/>
      </patternFill>
    </fill>
    <fill>
      <patternFill patternType="solid">
        <fgColor rgb="FFE9EBF5"/>
        <bgColor rgb="FF000000"/>
      </patternFill>
    </fill>
    <fill>
      <patternFill patternType="solid">
        <fgColor rgb="FFC0C0C0"/>
        <bgColor indexed="64"/>
      </patternFill>
    </fill>
    <fill>
      <patternFill patternType="solid">
        <fgColor rgb="FFFF9900"/>
        <bgColor indexed="64"/>
      </patternFill>
    </fill>
    <fill>
      <patternFill patternType="solid">
        <fgColor rgb="FF00CCFF"/>
        <bgColor indexed="64"/>
      </patternFill>
    </fill>
  </fills>
  <borders count="5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indexed="64"/>
      </right>
      <top/>
      <bottom style="thin">
        <color indexed="64"/>
      </bottom>
      <diagonal/>
    </border>
    <border>
      <left/>
      <right style="medium">
        <color rgb="FF000000"/>
      </right>
      <top/>
      <bottom style="thin">
        <color indexed="64"/>
      </bottom>
      <diagonal/>
    </border>
    <border>
      <left style="medium">
        <color rgb="FF000000"/>
      </left>
      <right style="thin">
        <color indexed="64"/>
      </right>
      <top/>
      <bottom style="medium">
        <color rgb="FF000000"/>
      </bottom>
      <diagonal/>
    </border>
    <border>
      <left/>
      <right style="thin">
        <color indexed="64"/>
      </right>
      <top/>
      <bottom style="medium">
        <color rgb="FF000000"/>
      </bottom>
      <diagonal/>
    </border>
    <border>
      <left/>
      <right style="medium">
        <color rgb="FF000000"/>
      </right>
      <top/>
      <bottom style="medium">
        <color rgb="FF000000"/>
      </bottom>
      <diagonal/>
    </border>
    <border>
      <left style="medium">
        <color rgb="FF000000"/>
      </left>
      <right style="thin">
        <color indexed="64"/>
      </right>
      <top style="medium">
        <color rgb="FF000000"/>
      </top>
      <bottom style="medium">
        <color rgb="FF000000"/>
      </bottom>
      <diagonal/>
    </border>
    <border>
      <left/>
      <right style="thin">
        <color indexed="64"/>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FFFFFF"/>
      </left>
      <right style="medium">
        <color rgb="FFFFFFFF"/>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right style="medium">
        <color rgb="FFFFFFFF"/>
      </right>
      <top style="thick">
        <color rgb="FFFFFFFF"/>
      </top>
      <bottom style="medium">
        <color rgb="FFFFFFFF"/>
      </bottom>
      <diagonal/>
    </border>
    <border>
      <left style="thin">
        <color rgb="FF000000"/>
      </left>
      <right style="thin">
        <color rgb="FF000000"/>
      </right>
      <top style="medium">
        <color rgb="FF000000"/>
      </top>
      <bottom/>
      <diagonal/>
    </border>
    <border>
      <left/>
      <right style="thin">
        <color rgb="FF000000"/>
      </right>
      <top style="medium">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412">
    <xf numFmtId="0" fontId="0" fillId="0" borderId="0" xfId="0"/>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0" xfId="0" applyFont="1" applyAlignment="1">
      <alignment vertical="center" wrapText="1"/>
    </xf>
    <xf numFmtId="0" fontId="8" fillId="0" borderId="0" xfId="0" applyFont="1" applyAlignment="1">
      <alignment vertical="center" wrapText="1"/>
    </xf>
    <xf numFmtId="0" fontId="11" fillId="3" borderId="1" xfId="0" applyFont="1" applyFill="1" applyBorder="1" applyAlignment="1">
      <alignment horizontal="center" vertical="center"/>
    </xf>
    <xf numFmtId="0" fontId="0" fillId="0" borderId="0" xfId="0" applyAlignment="1">
      <alignment vertical="center"/>
    </xf>
    <xf numFmtId="0" fontId="12" fillId="0" borderId="0" xfId="0" applyFont="1"/>
    <xf numFmtId="0" fontId="14" fillId="0" borderId="0" xfId="0" applyFont="1"/>
    <xf numFmtId="0" fontId="0" fillId="0" borderId="0" xfId="0" applyAlignment="1">
      <alignment vertical="center" wrapText="1"/>
    </xf>
    <xf numFmtId="0" fontId="10" fillId="0" borderId="0" xfId="0" applyFont="1" applyAlignment="1">
      <alignment vertical="center" wrapText="1"/>
    </xf>
    <xf numFmtId="0" fontId="0" fillId="0" borderId="0" xfId="0" applyAlignment="1">
      <alignment wrapText="1"/>
    </xf>
    <xf numFmtId="14" fontId="2" fillId="0" borderId="1" xfId="0" applyNumberFormat="1" applyFont="1" applyBorder="1" applyAlignment="1">
      <alignment horizontal="center" vertical="center"/>
    </xf>
    <xf numFmtId="0" fontId="2" fillId="0" borderId="0" xfId="0" applyFont="1" applyAlignment="1">
      <alignment horizontal="center" vertical="center"/>
    </xf>
    <xf numFmtId="0" fontId="6" fillId="0" borderId="1" xfId="0" applyFont="1" applyBorder="1" applyAlignment="1">
      <alignment horizontal="center" vertical="center" wrapText="1"/>
    </xf>
    <xf numFmtId="0" fontId="18" fillId="5"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18" fillId="5" borderId="1"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18" fillId="0" borderId="1" xfId="0" applyFont="1" applyBorder="1" applyAlignment="1">
      <alignment horizontal="left" vertical="center" wrapText="1"/>
    </xf>
    <xf numFmtId="0" fontId="5" fillId="0" borderId="0" xfId="0" applyFont="1" applyAlignment="1">
      <alignment horizontal="left" vertical="center"/>
    </xf>
    <xf numFmtId="0" fontId="22" fillId="0" borderId="0" xfId="0" applyFont="1" applyAlignment="1">
      <alignment horizontal="center"/>
    </xf>
    <xf numFmtId="0" fontId="23" fillId="0" borderId="20" xfId="0" applyFont="1" applyBorder="1" applyAlignment="1">
      <alignment horizontal="center"/>
    </xf>
    <xf numFmtId="0" fontId="23" fillId="0" borderId="0" xfId="0" applyFont="1" applyAlignment="1">
      <alignment horizontal="center"/>
    </xf>
    <xf numFmtId="0" fontId="0" fillId="0" borderId="0" xfId="0" applyAlignment="1">
      <alignment horizont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24" fillId="0" borderId="0" xfId="0" applyFont="1"/>
    <xf numFmtId="0" fontId="23" fillId="0" borderId="1" xfId="0" applyFont="1" applyBorder="1" applyAlignment="1">
      <alignment horizontal="center"/>
    </xf>
    <xf numFmtId="0" fontId="21" fillId="6" borderId="30" xfId="0" applyFont="1" applyFill="1" applyBorder="1" applyAlignment="1">
      <alignment horizontal="center"/>
    </xf>
    <xf numFmtId="0" fontId="21" fillId="6" borderId="31" xfId="0" applyFont="1" applyFill="1" applyBorder="1" applyAlignment="1">
      <alignment horizontal="center"/>
    </xf>
    <xf numFmtId="0" fontId="21" fillId="6" borderId="32" xfId="0" applyFont="1" applyFill="1" applyBorder="1" applyAlignment="1">
      <alignment horizontal="center"/>
    </xf>
    <xf numFmtId="0" fontId="22" fillId="0" borderId="25" xfId="0" applyFont="1" applyBorder="1" applyAlignment="1">
      <alignment horizontal="center"/>
    </xf>
    <xf numFmtId="0" fontId="23" fillId="0" borderId="26" xfId="0" applyFont="1" applyBorder="1" applyAlignment="1">
      <alignment horizontal="center"/>
    </xf>
    <xf numFmtId="0" fontId="22" fillId="0" borderId="27" xfId="0" applyFont="1" applyBorder="1" applyAlignment="1">
      <alignment horizontal="center"/>
    </xf>
    <xf numFmtId="0" fontId="23" fillId="0" borderId="28" xfId="0" applyFont="1" applyBorder="1" applyAlignment="1">
      <alignment horizontal="center"/>
    </xf>
    <xf numFmtId="0" fontId="23" fillId="0" borderId="29" xfId="0" applyFont="1" applyBorder="1" applyAlignment="1">
      <alignment horizontal="center"/>
    </xf>
    <xf numFmtId="0" fontId="18" fillId="5" borderId="28" xfId="0" applyFont="1" applyFill="1" applyBorder="1" applyAlignment="1">
      <alignment horizontal="center" vertical="center" wrapText="1"/>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5" fillId="0" borderId="1" xfId="0" applyFont="1" applyBorder="1" applyAlignment="1">
      <alignment horizontal="center" vertical="center"/>
    </xf>
    <xf numFmtId="0" fontId="19" fillId="0" borderId="1" xfId="0" applyFont="1" applyBorder="1" applyAlignment="1">
      <alignment horizontal="center" vertical="center"/>
    </xf>
    <xf numFmtId="0" fontId="5" fillId="0" borderId="1" xfId="0" applyFont="1" applyBorder="1" applyAlignment="1">
      <alignment horizontal="left" vertical="center"/>
    </xf>
    <xf numFmtId="0" fontId="3" fillId="0" borderId="1" xfId="1" applyFont="1" applyBorder="1" applyAlignment="1">
      <alignment horizontal="left" vertical="center" wrapText="1"/>
    </xf>
    <xf numFmtId="14" fontId="2" fillId="0" borderId="28" xfId="0" applyNumberFormat="1" applyFont="1" applyBorder="1" applyAlignment="1">
      <alignment horizontal="center" vertical="center" wrapText="1"/>
    </xf>
    <xf numFmtId="0" fontId="5" fillId="0" borderId="28" xfId="0" applyFont="1" applyBorder="1" applyAlignment="1">
      <alignment horizontal="center" vertical="center" wrapText="1"/>
    </xf>
    <xf numFmtId="0" fontId="21" fillId="6" borderId="31" xfId="0" applyFont="1" applyFill="1" applyBorder="1" applyAlignment="1">
      <alignment horizontal="left"/>
    </xf>
    <xf numFmtId="0" fontId="2" fillId="0" borderId="0" xfId="0" applyFont="1" applyAlignment="1">
      <alignment horizontal="center" vertical="center" wrapText="1"/>
    </xf>
    <xf numFmtId="0" fontId="6" fillId="0" borderId="0" xfId="0" applyFont="1" applyAlignment="1">
      <alignment horizontal="center" vertical="center" wrapText="1"/>
    </xf>
    <xf numFmtId="0" fontId="2" fillId="0" borderId="0" xfId="0" applyFont="1"/>
    <xf numFmtId="0" fontId="6" fillId="0" borderId="1" xfId="0" applyFont="1" applyBorder="1" applyAlignment="1">
      <alignment horizontal="center" vertical="center"/>
    </xf>
    <xf numFmtId="0" fontId="11" fillId="0" borderId="1" xfId="0" applyFont="1" applyBorder="1" applyAlignment="1">
      <alignment horizontal="center" vertical="center"/>
    </xf>
    <xf numFmtId="0" fontId="27" fillId="0" borderId="0" xfId="0" applyFont="1"/>
    <xf numFmtId="0" fontId="9" fillId="6" borderId="16" xfId="0" applyFont="1" applyFill="1" applyBorder="1" applyAlignment="1">
      <alignment horizontal="center"/>
    </xf>
    <xf numFmtId="0" fontId="9" fillId="6" borderId="17" xfId="0" applyFont="1" applyFill="1" applyBorder="1" applyAlignment="1">
      <alignment horizontal="center"/>
    </xf>
    <xf numFmtId="0" fontId="9" fillId="6" borderId="18" xfId="0" applyFont="1" applyFill="1" applyBorder="1" applyAlignment="1">
      <alignment horizontal="center"/>
    </xf>
    <xf numFmtId="0" fontId="6" fillId="0" borderId="0" xfId="0" applyFont="1" applyAlignment="1">
      <alignment horizontal="center"/>
    </xf>
    <xf numFmtId="0" fontId="6" fillId="0" borderId="19" xfId="0" applyFont="1" applyBorder="1" applyAlignment="1">
      <alignment horizontal="center"/>
    </xf>
    <xf numFmtId="0" fontId="6" fillId="0" borderId="20" xfId="0" applyFont="1" applyBorder="1" applyAlignment="1">
      <alignment horizontal="center"/>
    </xf>
    <xf numFmtId="0" fontId="6" fillId="0" borderId="21" xfId="0" applyFont="1" applyBorder="1" applyAlignment="1">
      <alignment horizontal="center" vertical="center"/>
    </xf>
    <xf numFmtId="0" fontId="6" fillId="0" borderId="22" xfId="0" applyFont="1" applyBorder="1" applyAlignment="1">
      <alignment horizontal="center"/>
    </xf>
    <xf numFmtId="0" fontId="6" fillId="0" borderId="23" xfId="0" applyFont="1" applyBorder="1" applyAlignment="1">
      <alignment horizontal="center"/>
    </xf>
    <xf numFmtId="0" fontId="6" fillId="0" borderId="24" xfId="0" applyFont="1" applyBorder="1" applyAlignment="1">
      <alignment horizontal="center" vertical="center"/>
    </xf>
    <xf numFmtId="0" fontId="9" fillId="6" borderId="30" xfId="0" applyFont="1" applyFill="1" applyBorder="1" applyAlignment="1">
      <alignment horizontal="center"/>
    </xf>
    <xf numFmtId="0" fontId="9" fillId="6" borderId="31" xfId="0" applyFont="1" applyFill="1" applyBorder="1" applyAlignment="1">
      <alignment horizontal="center"/>
    </xf>
    <xf numFmtId="0" fontId="9" fillId="6" borderId="32" xfId="0" applyFont="1" applyFill="1" applyBorder="1" applyAlignment="1">
      <alignment horizontal="center"/>
    </xf>
    <xf numFmtId="0" fontId="6" fillId="0" borderId="25" xfId="0" applyFont="1" applyBorder="1" applyAlignment="1">
      <alignment horizontal="center"/>
    </xf>
    <xf numFmtId="0" fontId="6" fillId="0" borderId="1" xfId="0" applyFont="1" applyBorder="1" applyAlignment="1">
      <alignment horizontal="center"/>
    </xf>
    <xf numFmtId="0" fontId="6" fillId="0" borderId="26" xfId="0" applyFont="1" applyBorder="1" applyAlignment="1">
      <alignment horizontal="center"/>
    </xf>
    <xf numFmtId="0" fontId="6" fillId="0" borderId="27" xfId="0" applyFont="1" applyBorder="1" applyAlignment="1">
      <alignment horizontal="center"/>
    </xf>
    <xf numFmtId="0" fontId="6" fillId="0" borderId="28" xfId="0" applyFont="1" applyBorder="1" applyAlignment="1">
      <alignment horizontal="center"/>
    </xf>
    <xf numFmtId="0" fontId="6" fillId="0" borderId="28" xfId="0" applyFont="1" applyBorder="1" applyAlignment="1">
      <alignment horizontal="center" vertical="center"/>
    </xf>
    <xf numFmtId="0" fontId="6" fillId="0" borderId="29" xfId="0" applyFont="1" applyBorder="1" applyAlignment="1">
      <alignment horizontal="center"/>
    </xf>
    <xf numFmtId="0" fontId="2" fillId="0" borderId="0" xfId="0" applyFont="1" applyAlignment="1">
      <alignment horizontal="center"/>
    </xf>
    <xf numFmtId="14" fontId="2"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28" fillId="0" borderId="1" xfId="0" applyFont="1" applyBorder="1" applyAlignment="1">
      <alignment horizontal="center" vertical="center" wrapText="1" readingOrder="1"/>
    </xf>
    <xf numFmtId="14" fontId="2" fillId="0" borderId="0" xfId="0" applyNumberFormat="1" applyFont="1" applyAlignment="1">
      <alignment horizontal="center" vertical="center"/>
    </xf>
    <xf numFmtId="0" fontId="2" fillId="0" borderId="4" xfId="0" applyFont="1" applyBorder="1" applyAlignment="1">
      <alignment horizontal="center" vertical="center"/>
    </xf>
    <xf numFmtId="14" fontId="2" fillId="0" borderId="4" xfId="0" applyNumberFormat="1" applyFont="1" applyBorder="1" applyAlignment="1">
      <alignment horizontal="center" vertical="center" wrapText="1"/>
    </xf>
    <xf numFmtId="0" fontId="0" fillId="0" borderId="0" xfId="0" applyAlignment="1">
      <alignment horizontal="center" vertical="center" wrapText="1"/>
    </xf>
    <xf numFmtId="0" fontId="22" fillId="0" borderId="33" xfId="0" applyFont="1" applyBorder="1" applyAlignment="1">
      <alignment horizontal="center"/>
    </xf>
    <xf numFmtId="0" fontId="23" fillId="0" borderId="34" xfId="0" applyFont="1" applyBorder="1" applyAlignment="1">
      <alignment horizontal="center"/>
    </xf>
    <xf numFmtId="0" fontId="22" fillId="0" borderId="35" xfId="0" applyFont="1" applyBorder="1" applyAlignment="1">
      <alignment horizontal="center"/>
    </xf>
    <xf numFmtId="0" fontId="23" fillId="0" borderId="36" xfId="0" applyFont="1" applyBorder="1" applyAlignment="1">
      <alignment horizontal="center"/>
    </xf>
    <xf numFmtId="0" fontId="23" fillId="0" borderId="37" xfId="0" applyFont="1" applyBorder="1" applyAlignment="1">
      <alignment horizontal="center"/>
    </xf>
    <xf numFmtId="0" fontId="21" fillId="7" borderId="38" xfId="0" applyFont="1" applyFill="1" applyBorder="1" applyAlignment="1">
      <alignment horizontal="center"/>
    </xf>
    <xf numFmtId="0" fontId="21" fillId="7" borderId="39" xfId="0" applyFont="1" applyFill="1" applyBorder="1" applyAlignment="1">
      <alignment horizontal="center"/>
    </xf>
    <xf numFmtId="0" fontId="21" fillId="7" borderId="40" xfId="0" applyFont="1" applyFill="1" applyBorder="1" applyAlignment="1">
      <alignment horizontal="center"/>
    </xf>
    <xf numFmtId="0" fontId="22" fillId="0" borderId="41" xfId="0" applyFont="1" applyBorder="1" applyAlignment="1">
      <alignment horizontal="center"/>
    </xf>
    <xf numFmtId="0" fontId="23" fillId="0" borderId="4" xfId="0" applyFont="1" applyBorder="1" applyAlignment="1">
      <alignment horizontal="center"/>
    </xf>
    <xf numFmtId="0" fontId="23" fillId="0" borderId="42" xfId="0" applyFont="1" applyBorder="1" applyAlignment="1">
      <alignment horizontal="center"/>
    </xf>
    <xf numFmtId="0" fontId="5" fillId="0" borderId="4" xfId="0" applyFont="1" applyBorder="1" applyAlignment="1">
      <alignment horizontal="center" vertical="center"/>
    </xf>
    <xf numFmtId="0" fontId="2" fillId="0" borderId="4" xfId="0" applyFont="1" applyBorder="1" applyAlignment="1">
      <alignment horizontal="center" vertical="center" wrapText="1"/>
    </xf>
    <xf numFmtId="0" fontId="29" fillId="8" borderId="43" xfId="0" applyFont="1" applyFill="1" applyBorder="1" applyAlignment="1">
      <alignment horizontal="center" vertical="center"/>
    </xf>
    <xf numFmtId="0" fontId="29" fillId="8" borderId="44" xfId="0" applyFont="1" applyFill="1" applyBorder="1" applyAlignment="1">
      <alignment horizontal="center" vertical="center"/>
    </xf>
    <xf numFmtId="14" fontId="29" fillId="8" borderId="45" xfId="0" applyNumberFormat="1" applyFont="1" applyFill="1" applyBorder="1" applyAlignment="1">
      <alignment horizontal="center" vertical="center"/>
    </xf>
    <xf numFmtId="0" fontId="2" fillId="0" borderId="2" xfId="0" applyFont="1" applyBorder="1" applyAlignment="1">
      <alignment horizontal="center" vertical="center"/>
    </xf>
    <xf numFmtId="0" fontId="5" fillId="0" borderId="1" xfId="0" applyFont="1" applyBorder="1" applyAlignment="1">
      <alignment horizontal="center" vertical="center" wrapText="1"/>
    </xf>
    <xf numFmtId="0" fontId="25" fillId="0" borderId="28" xfId="0" applyFont="1" applyBorder="1" applyAlignment="1">
      <alignment horizontal="left" vertical="center" wrapText="1"/>
    </xf>
    <xf numFmtId="0" fontId="5" fillId="0" borderId="0" xfId="0" applyFont="1" applyAlignment="1">
      <alignment horizontal="center" vertical="center"/>
    </xf>
    <xf numFmtId="0" fontId="4" fillId="0" borderId="1" xfId="0" applyFont="1" applyBorder="1" applyAlignment="1">
      <alignment horizontal="left" vertical="center"/>
    </xf>
    <xf numFmtId="0" fontId="25" fillId="0" borderId="1" xfId="0" applyFont="1" applyBorder="1" applyAlignment="1">
      <alignment horizontal="left" vertical="center"/>
    </xf>
    <xf numFmtId="0" fontId="2" fillId="0" borderId="26" xfId="0" applyFont="1" applyBorder="1" applyAlignment="1">
      <alignment horizontal="center" vertical="center" wrapText="1"/>
    </xf>
    <xf numFmtId="0" fontId="2" fillId="0" borderId="28" xfId="0" applyFont="1" applyBorder="1" applyAlignment="1">
      <alignment horizontal="center" vertical="center"/>
    </xf>
    <xf numFmtId="14" fontId="2" fillId="9" borderId="1" xfId="0" applyNumberFormat="1" applyFont="1" applyFill="1" applyBorder="1" applyAlignment="1">
      <alignment horizontal="center" vertical="center" wrapText="1"/>
    </xf>
    <xf numFmtId="0" fontId="3" fillId="0" borderId="1" xfId="1" applyFont="1" applyBorder="1" applyAlignment="1">
      <alignment horizontal="center" vertical="center" wrapText="1"/>
    </xf>
    <xf numFmtId="0" fontId="1" fillId="0" borderId="1" xfId="1" applyBorder="1" applyAlignment="1">
      <alignment horizontal="center" vertical="center" wrapText="1"/>
    </xf>
    <xf numFmtId="1" fontId="9" fillId="6" borderId="1" xfId="0" applyNumberFormat="1" applyFont="1" applyFill="1" applyBorder="1" applyAlignment="1">
      <alignment horizontal="center" vertical="center" wrapText="1"/>
    </xf>
    <xf numFmtId="0" fontId="9" fillId="6" borderId="1" xfId="0" applyFont="1" applyFill="1" applyBorder="1" applyAlignment="1">
      <alignment horizontal="center" vertical="center"/>
    </xf>
    <xf numFmtId="0" fontId="9" fillId="6" borderId="1" xfId="0" applyFont="1" applyFill="1" applyBorder="1" applyAlignment="1">
      <alignment horizontal="center" vertical="center" wrapText="1"/>
    </xf>
    <xf numFmtId="0" fontId="30" fillId="0" borderId="0" xfId="0" applyFont="1" applyAlignment="1">
      <alignment horizontal="center" vertical="center"/>
    </xf>
    <xf numFmtId="0" fontId="3" fillId="0" borderId="1" xfId="1" applyFont="1" applyFill="1" applyBorder="1" applyAlignment="1">
      <alignment horizontal="center" vertical="center" wrapText="1"/>
    </xf>
    <xf numFmtId="1" fontId="2" fillId="0" borderId="0" xfId="0" applyNumberFormat="1" applyFont="1" applyAlignment="1">
      <alignment horizontal="center" vertical="center" wrapText="1"/>
    </xf>
    <xf numFmtId="0" fontId="3" fillId="0" borderId="0" xfId="1" applyFont="1" applyBorder="1" applyAlignment="1">
      <alignment horizontal="center" vertical="center" wrapText="1"/>
    </xf>
    <xf numFmtId="14" fontId="9" fillId="6" borderId="1" xfId="0" applyNumberFormat="1" applyFont="1" applyFill="1" applyBorder="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wrapText="1"/>
    </xf>
    <xf numFmtId="0" fontId="3" fillId="0" borderId="0" xfId="1" applyFont="1" applyBorder="1" applyAlignment="1">
      <alignment horizontal="center" vertical="center"/>
    </xf>
    <xf numFmtId="0" fontId="6" fillId="0" borderId="0" xfId="1" applyFont="1" applyBorder="1" applyAlignment="1">
      <alignment horizontal="center" vertical="center" wrapText="1"/>
    </xf>
    <xf numFmtId="0" fontId="3" fillId="0" borderId="0" xfId="1" applyFont="1" applyAlignment="1">
      <alignment horizontal="center"/>
    </xf>
    <xf numFmtId="0" fontId="9" fillId="0" borderId="1" xfId="0" applyFont="1" applyBorder="1" applyAlignment="1">
      <alignment horizontal="center" vertical="center" wrapText="1"/>
    </xf>
    <xf numFmtId="0" fontId="0" fillId="0" borderId="1" xfId="0" applyBorder="1" applyAlignment="1">
      <alignment horizontal="center" vertical="center"/>
    </xf>
    <xf numFmtId="14" fontId="2" fillId="0" borderId="2" xfId="0" applyNumberFormat="1" applyFont="1" applyBorder="1" applyAlignment="1">
      <alignment horizontal="center" vertical="center"/>
    </xf>
    <xf numFmtId="14" fontId="2" fillId="0" borderId="2" xfId="0" applyNumberFormat="1" applyFont="1" applyBorder="1" applyAlignment="1">
      <alignment horizontal="center" vertical="center" wrapText="1"/>
    </xf>
    <xf numFmtId="0" fontId="28" fillId="0" borderId="2" xfId="0" applyFont="1" applyBorder="1" applyAlignment="1">
      <alignment horizontal="center" vertical="center" wrapText="1" readingOrder="1"/>
    </xf>
    <xf numFmtId="14" fontId="2" fillId="9" borderId="2" xfId="0" applyNumberFormat="1" applyFont="1" applyFill="1" applyBorder="1" applyAlignment="1">
      <alignment horizontal="center" vertical="center" wrapText="1"/>
    </xf>
    <xf numFmtId="0" fontId="2" fillId="9" borderId="0" xfId="0" applyFont="1" applyFill="1" applyAlignment="1">
      <alignment horizontal="center" vertical="center"/>
    </xf>
    <xf numFmtId="0" fontId="2" fillId="4" borderId="0" xfId="0" applyFont="1" applyFill="1" applyAlignment="1">
      <alignment horizontal="center" vertical="center"/>
    </xf>
    <xf numFmtId="0" fontId="2" fillId="10" borderId="0" xfId="0" applyFont="1" applyFill="1" applyAlignment="1">
      <alignment horizontal="center" vertical="center"/>
    </xf>
    <xf numFmtId="14" fontId="9" fillId="6" borderId="2" xfId="0" applyNumberFormat="1" applyFont="1" applyFill="1" applyBorder="1" applyAlignment="1">
      <alignment horizontal="center" vertical="center" wrapText="1"/>
    </xf>
    <xf numFmtId="0" fontId="9" fillId="6" borderId="2" xfId="0" applyFont="1" applyFill="1" applyBorder="1" applyAlignment="1">
      <alignment horizontal="center" vertical="center" wrapText="1"/>
    </xf>
    <xf numFmtId="0" fontId="0" fillId="0" borderId="1" xfId="0" applyBorder="1" applyAlignment="1">
      <alignment horizontal="center" vertical="center" wrapText="1"/>
    </xf>
    <xf numFmtId="0" fontId="31" fillId="0" borderId="1" xfId="1" applyFont="1" applyBorder="1" applyAlignment="1">
      <alignment horizontal="center" vertical="center" wrapText="1"/>
    </xf>
    <xf numFmtId="0" fontId="1" fillId="0" borderId="2" xfId="1" applyBorder="1" applyAlignment="1">
      <alignment horizontal="center" vertical="center" wrapText="1"/>
    </xf>
    <xf numFmtId="0" fontId="1" fillId="0" borderId="7" xfId="1" applyBorder="1" applyAlignment="1">
      <alignment horizontal="center" vertical="center" wrapText="1"/>
    </xf>
    <xf numFmtId="0" fontId="0" fillId="0" borderId="2" xfId="0" applyBorder="1" applyAlignment="1">
      <alignment horizontal="center" vertical="center"/>
    </xf>
    <xf numFmtId="0" fontId="0" fillId="0" borderId="5" xfId="0" applyBorder="1" applyAlignment="1">
      <alignment horizontal="center" vertical="center"/>
    </xf>
    <xf numFmtId="0" fontId="31" fillId="0" borderId="2" xfId="1" applyFont="1" applyBorder="1" applyAlignment="1">
      <alignment horizontal="center" vertical="center"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1" fillId="0" borderId="15" xfId="1" applyBorder="1" applyAlignment="1">
      <alignment horizontal="center" vertical="center" wrapText="1"/>
    </xf>
    <xf numFmtId="0" fontId="0" fillId="0" borderId="5" xfId="0" applyBorder="1"/>
    <xf numFmtId="0" fontId="1" fillId="0" borderId="6" xfId="1" applyBorder="1" applyAlignment="1">
      <alignment horizontal="center" wrapText="1"/>
    </xf>
    <xf numFmtId="0" fontId="0" fillId="0" borderId="6" xfId="0" applyBorder="1" applyAlignment="1">
      <alignment horizontal="center" vertical="center" wrapText="1"/>
    </xf>
    <xf numFmtId="0" fontId="1" fillId="0" borderId="5" xfId="1" applyBorder="1" applyAlignment="1">
      <alignment horizontal="center" wrapText="1"/>
    </xf>
    <xf numFmtId="0" fontId="0" fillId="0" borderId="6"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1" fillId="0" borderId="1" xfId="1" applyBorder="1" applyAlignment="1">
      <alignment horizontal="center" wrapText="1"/>
    </xf>
    <xf numFmtId="0" fontId="1" fillId="0" borderId="2" xfId="1" applyBorder="1" applyAlignment="1">
      <alignment horizontal="center" wrapText="1"/>
    </xf>
    <xf numFmtId="0" fontId="0" fillId="0" borderId="7" xfId="0" applyBorder="1" applyAlignment="1">
      <alignment horizontal="center" vertical="center"/>
    </xf>
    <xf numFmtId="0" fontId="1" fillId="0" borderId="5" xfId="1" applyBorder="1" applyAlignment="1">
      <alignment horizontal="center" vertical="center" wrapText="1"/>
    </xf>
    <xf numFmtId="0" fontId="1" fillId="0" borderId="15" xfId="1" applyBorder="1" applyAlignment="1">
      <alignment horizontal="center" wrapText="1"/>
    </xf>
    <xf numFmtId="0" fontId="1" fillId="0" borderId="7" xfId="1" applyBorder="1" applyAlignment="1">
      <alignment horizontal="center" wrapText="1"/>
    </xf>
    <xf numFmtId="0" fontId="1" fillId="0" borderId="0" xfId="1"/>
    <xf numFmtId="14" fontId="1" fillId="0" borderId="1" xfId="1" applyNumberFormat="1" applyBorder="1" applyAlignment="1">
      <alignment horizontal="center" vertical="center" wrapText="1"/>
    </xf>
    <xf numFmtId="14" fontId="1" fillId="0" borderId="2" xfId="1" applyNumberFormat="1" applyBorder="1" applyAlignment="1">
      <alignment horizontal="center" vertical="center" wrapText="1"/>
    </xf>
    <xf numFmtId="14" fontId="1" fillId="0" borderId="5" xfId="1" applyNumberFormat="1" applyBorder="1" applyAlignment="1">
      <alignment horizontal="center" vertical="center" wrapText="1"/>
    </xf>
    <xf numFmtId="0" fontId="0" fillId="0" borderId="5" xfId="0" applyBorder="1" applyAlignment="1">
      <alignment vertical="center" wrapText="1"/>
    </xf>
    <xf numFmtId="14" fontId="1" fillId="0" borderId="4" xfId="1" applyNumberFormat="1" applyBorder="1" applyAlignment="1">
      <alignment horizontal="center" vertical="center" wrapText="1"/>
    </xf>
    <xf numFmtId="14" fontId="1" fillId="0" borderId="15" xfId="1" applyNumberFormat="1" applyBorder="1" applyAlignment="1">
      <alignment horizontal="center" vertical="center" wrapText="1"/>
    </xf>
    <xf numFmtId="14" fontId="0" fillId="0" borderId="14" xfId="0" applyNumberFormat="1" applyBorder="1" applyAlignment="1">
      <alignment horizontal="center" vertical="center"/>
    </xf>
    <xf numFmtId="14" fontId="0" fillId="0" borderId="8" xfId="0" applyNumberFormat="1" applyBorder="1" applyAlignment="1">
      <alignment horizontal="center" vertical="center"/>
    </xf>
    <xf numFmtId="14" fontId="0" fillId="0" borderId="15" xfId="0" applyNumberFormat="1" applyBorder="1" applyAlignment="1">
      <alignment horizontal="center" vertical="center"/>
    </xf>
    <xf numFmtId="14" fontId="0" fillId="0" borderId="7" xfId="0" applyNumberFormat="1" applyBorder="1" applyAlignment="1">
      <alignment horizontal="center" vertical="center"/>
    </xf>
    <xf numFmtId="0" fontId="0" fillId="0" borderId="4" xfId="0" applyBorder="1" applyAlignment="1">
      <alignment horizontal="center" vertical="center"/>
    </xf>
    <xf numFmtId="14" fontId="1" fillId="0" borderId="7" xfId="1" applyNumberFormat="1" applyBorder="1" applyAlignment="1">
      <alignment horizontal="center" vertical="center" wrapText="1"/>
    </xf>
    <xf numFmtId="0" fontId="1" fillId="0" borderId="6" xfId="1" applyBorder="1" applyAlignment="1">
      <alignment horizontal="center" vertical="center" wrapText="1"/>
    </xf>
    <xf numFmtId="14" fontId="0" fillId="0" borderId="5" xfId="0" applyNumberFormat="1" applyBorder="1" applyAlignment="1">
      <alignment horizontal="center" vertical="center"/>
    </xf>
    <xf numFmtId="0" fontId="0" fillId="0" borderId="15" xfId="0" applyBorder="1" applyAlignment="1">
      <alignment horizontal="center" vertical="center" wrapText="1"/>
    </xf>
    <xf numFmtId="0" fontId="0" fillId="0" borderId="7" xfId="0" applyBorder="1" applyAlignment="1">
      <alignment horizontal="center" vertical="center" wrapText="1"/>
    </xf>
    <xf numFmtId="0" fontId="2" fillId="0" borderId="5" xfId="0" applyFont="1" applyBorder="1" applyAlignment="1">
      <alignment horizontal="center" vertical="center"/>
    </xf>
    <xf numFmtId="14" fontId="1" fillId="0" borderId="14" xfId="1" applyNumberFormat="1" applyBorder="1" applyAlignment="1">
      <alignment horizontal="center" vertical="center" wrapText="1"/>
    </xf>
    <xf numFmtId="0" fontId="32" fillId="0" borderId="1" xfId="0" applyFont="1" applyBorder="1" applyAlignment="1">
      <alignment horizontal="center" vertical="center" wrapText="1" readingOrder="1"/>
    </xf>
    <xf numFmtId="0" fontId="0" fillId="0" borderId="8" xfId="0" applyBorder="1" applyAlignment="1">
      <alignment horizontal="center" vertical="center"/>
    </xf>
    <xf numFmtId="14" fontId="0" fillId="0" borderId="6" xfId="0" applyNumberFormat="1" applyBorder="1" applyAlignment="1">
      <alignment horizontal="center" vertical="center"/>
    </xf>
    <xf numFmtId="0" fontId="0" fillId="0" borderId="6" xfId="0" applyBorder="1" applyAlignment="1">
      <alignment vertical="center" wrapText="1"/>
    </xf>
    <xf numFmtId="0" fontId="2" fillId="0" borderId="14" xfId="0" applyFont="1" applyBorder="1" applyAlignment="1">
      <alignment horizontal="center" vertical="center"/>
    </xf>
    <xf numFmtId="0" fontId="32" fillId="0" borderId="2" xfId="0" applyFont="1" applyBorder="1" applyAlignment="1">
      <alignment horizontal="center" vertical="center" wrapText="1" readingOrder="1"/>
    </xf>
    <xf numFmtId="0" fontId="28" fillId="0" borderId="5" xfId="0" applyFont="1" applyBorder="1" applyAlignment="1">
      <alignment horizontal="center" vertical="center" wrapText="1" readingOrder="1"/>
    </xf>
    <xf numFmtId="14" fontId="1" fillId="0" borderId="8" xfId="1" applyNumberFormat="1" applyBorder="1" applyAlignment="1">
      <alignment horizontal="center" vertical="center" wrapText="1"/>
    </xf>
    <xf numFmtId="0" fontId="34" fillId="0" borderId="1" xfId="0" applyFont="1" applyBorder="1" applyAlignment="1">
      <alignment horizontal="center" vertical="center" wrapText="1"/>
    </xf>
    <xf numFmtId="0" fontId="0" fillId="0" borderId="14" xfId="0" applyBorder="1" applyAlignment="1">
      <alignment horizontal="center" vertical="center" wrapText="1"/>
    </xf>
    <xf numFmtId="0" fontId="34" fillId="0" borderId="2" xfId="0" applyFont="1" applyBorder="1" applyAlignment="1">
      <alignment horizontal="center" vertical="center" wrapText="1"/>
    </xf>
    <xf numFmtId="0" fontId="0" fillId="0" borderId="8" xfId="0" applyBorder="1" applyAlignment="1">
      <alignment horizontal="center" vertical="center" wrapText="1"/>
    </xf>
    <xf numFmtId="0" fontId="34" fillId="0" borderId="5" xfId="0" applyFont="1" applyBorder="1" applyAlignment="1">
      <alignment horizontal="center" vertical="center" wrapText="1"/>
    </xf>
    <xf numFmtId="0" fontId="34" fillId="0" borderId="6" xfId="0" applyFont="1" applyBorder="1" applyAlignment="1">
      <alignment horizontal="center" vertical="center" wrapText="1"/>
    </xf>
    <xf numFmtId="0" fontId="37" fillId="0" borderId="0" xfId="0" applyFont="1"/>
    <xf numFmtId="0" fontId="28" fillId="0" borderId="5" xfId="0" applyFont="1" applyBorder="1" applyAlignment="1">
      <alignment horizontal="center" vertical="center" wrapText="1"/>
    </xf>
    <xf numFmtId="0" fontId="2" fillId="0" borderId="3" xfId="0" applyFont="1" applyBorder="1" applyAlignment="1">
      <alignment horizontal="center" vertical="center"/>
    </xf>
    <xf numFmtId="0" fontId="0" fillId="0" borderId="3" xfId="0" applyBorder="1" applyAlignment="1">
      <alignment horizontal="center" vertical="center" wrapText="1"/>
    </xf>
    <xf numFmtId="0" fontId="0" fillId="0" borderId="9" xfId="0"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6" fillId="12" borderId="48" xfId="0" applyFont="1" applyFill="1" applyBorder="1" applyAlignment="1">
      <alignment horizontal="center" readingOrder="1"/>
    </xf>
    <xf numFmtId="14" fontId="36" fillId="12" borderId="49" xfId="0" applyNumberFormat="1" applyFont="1" applyFill="1" applyBorder="1" applyAlignment="1">
      <alignment horizontal="center" readingOrder="1"/>
    </xf>
    <xf numFmtId="0" fontId="36" fillId="12" borderId="49" xfId="0" applyFont="1" applyFill="1" applyBorder="1" applyAlignment="1">
      <alignment horizontal="center" readingOrder="1"/>
    </xf>
    <xf numFmtId="0" fontId="36" fillId="13" borderId="48" xfId="0" applyFont="1" applyFill="1" applyBorder="1" applyAlignment="1">
      <alignment horizontal="center" readingOrder="1"/>
    </xf>
    <xf numFmtId="0" fontId="36" fillId="13" borderId="49" xfId="0" applyFont="1" applyFill="1" applyBorder="1" applyAlignment="1">
      <alignment horizontal="center" readingOrder="1"/>
    </xf>
    <xf numFmtId="0" fontId="36" fillId="13" borderId="49" xfId="0" applyFont="1" applyFill="1" applyBorder="1" applyAlignment="1">
      <alignment horizontal="center" wrapText="1" readingOrder="1"/>
    </xf>
    <xf numFmtId="0" fontId="36" fillId="12" borderId="50" xfId="0" applyFont="1" applyFill="1" applyBorder="1" applyAlignment="1">
      <alignment horizontal="center" wrapText="1" readingOrder="1"/>
    </xf>
    <xf numFmtId="0" fontId="34" fillId="0" borderId="14" xfId="0" applyFont="1" applyBorder="1" applyAlignment="1">
      <alignment horizontal="center" vertical="center" wrapText="1"/>
    </xf>
    <xf numFmtId="0" fontId="34" fillId="0" borderId="8" xfId="0" applyFont="1" applyBorder="1" applyAlignment="1">
      <alignment horizontal="center" vertical="center" wrapText="1"/>
    </xf>
    <xf numFmtId="14" fontId="0" fillId="0" borderId="1" xfId="0" applyNumberFormat="1" applyBorder="1" applyAlignment="1">
      <alignment horizontal="center" vertical="center"/>
    </xf>
    <xf numFmtId="0" fontId="0" fillId="0" borderId="4" xfId="0" applyBorder="1" applyAlignment="1">
      <alignment horizontal="center" vertical="center" wrapText="1"/>
    </xf>
    <xf numFmtId="0" fontId="38" fillId="0" borderId="1" xfId="0" applyFont="1" applyBorder="1" applyAlignment="1">
      <alignment horizontal="center" vertical="center"/>
    </xf>
    <xf numFmtId="0" fontId="38" fillId="0" borderId="1" xfId="0" applyFont="1" applyBorder="1" applyAlignment="1">
      <alignment horizontal="center" vertical="center" wrapText="1"/>
    </xf>
    <xf numFmtId="0" fontId="39" fillId="0" borderId="0" xfId="0" applyFont="1" applyAlignment="1">
      <alignment horizontal="center" vertical="center"/>
    </xf>
    <xf numFmtId="0" fontId="38" fillId="14" borderId="1" xfId="0" applyFont="1" applyFill="1" applyBorder="1" applyAlignment="1">
      <alignment horizontal="center" vertical="center" wrapText="1"/>
    </xf>
    <xf numFmtId="0" fontId="40" fillId="14" borderId="1" xfId="0" applyFont="1" applyFill="1" applyBorder="1" applyAlignment="1">
      <alignment horizontal="center" vertical="center"/>
    </xf>
    <xf numFmtId="0" fontId="40" fillId="5" borderId="1" xfId="0" applyFont="1" applyFill="1" applyBorder="1" applyAlignment="1">
      <alignment horizontal="center" vertical="center"/>
    </xf>
    <xf numFmtId="0" fontId="41" fillId="0" borderId="1" xfId="0" applyFont="1" applyBorder="1" applyAlignment="1">
      <alignment horizontal="center" vertical="center"/>
    </xf>
    <xf numFmtId="0" fontId="41" fillId="15" borderId="1" xfId="0" applyFont="1" applyFill="1" applyBorder="1" applyAlignment="1">
      <alignment horizontal="center" vertical="center"/>
    </xf>
    <xf numFmtId="0" fontId="41" fillId="9" borderId="1" xfId="0" applyFont="1" applyFill="1" applyBorder="1" applyAlignment="1">
      <alignment horizontal="center" vertical="center"/>
    </xf>
    <xf numFmtId="0" fontId="41" fillId="16" borderId="1" xfId="0" applyFont="1" applyFill="1" applyBorder="1" applyAlignment="1">
      <alignment horizontal="center" vertical="center"/>
    </xf>
    <xf numFmtId="0" fontId="42" fillId="14" borderId="1" xfId="0" applyFont="1" applyFill="1" applyBorder="1" applyAlignment="1">
      <alignment horizontal="center" vertical="center"/>
    </xf>
    <xf numFmtId="0" fontId="42" fillId="5" borderId="1" xfId="0" applyFont="1" applyFill="1" applyBorder="1" applyAlignment="1">
      <alignment horizontal="center" vertical="center"/>
    </xf>
    <xf numFmtId="0" fontId="43" fillId="0" borderId="1" xfId="0" applyFont="1" applyBorder="1" applyAlignment="1">
      <alignment horizontal="center" vertical="center"/>
    </xf>
    <xf numFmtId="0" fontId="38" fillId="14" borderId="14" xfId="0" applyFont="1" applyFill="1" applyBorder="1" applyAlignment="1">
      <alignment horizontal="center" vertical="center" wrapText="1"/>
    </xf>
    <xf numFmtId="0" fontId="28" fillId="0" borderId="1" xfId="0" applyFont="1" applyBorder="1" applyAlignment="1">
      <alignment horizontal="center" vertical="center" wrapText="1"/>
    </xf>
    <xf numFmtId="14" fontId="0" fillId="0" borderId="2" xfId="0" applyNumberFormat="1" applyBorder="1" applyAlignment="1">
      <alignment horizontal="center" vertical="center"/>
    </xf>
    <xf numFmtId="14" fontId="1" fillId="0" borderId="1" xfId="1" applyNumberFormat="1" applyBorder="1" applyAlignment="1">
      <alignment horizontal="center" vertical="center"/>
    </xf>
    <xf numFmtId="0" fontId="28" fillId="0" borderId="5" xfId="0" applyFont="1" applyBorder="1" applyAlignment="1">
      <alignment horizontal="center" vertical="center" readingOrder="1"/>
    </xf>
    <xf numFmtId="0" fontId="29" fillId="8" borderId="43" xfId="0" applyFont="1" applyFill="1" applyBorder="1" applyAlignment="1">
      <alignment horizontal="center" vertical="center" wrapText="1"/>
    </xf>
    <xf numFmtId="0" fontId="29" fillId="8" borderId="44" xfId="0" applyFont="1" applyFill="1" applyBorder="1" applyAlignment="1">
      <alignment horizontal="center" vertical="center" wrapText="1"/>
    </xf>
    <xf numFmtId="0" fontId="5" fillId="0" borderId="4" xfId="0" applyFont="1" applyBorder="1" applyAlignment="1">
      <alignment horizontal="center" vertical="center" wrapText="1"/>
    </xf>
    <xf numFmtId="14" fontId="2" fillId="0" borderId="11" xfId="0" applyNumberFormat="1" applyFont="1" applyBorder="1" applyAlignment="1">
      <alignment horizontal="center" vertical="center" wrapText="1"/>
    </xf>
    <xf numFmtId="14" fontId="2" fillId="0" borderId="5" xfId="0" applyNumberFormat="1" applyFont="1" applyBorder="1" applyAlignment="1">
      <alignment horizontal="center" vertical="center" wrapText="1"/>
    </xf>
    <xf numFmtId="0" fontId="29" fillId="8" borderId="51" xfId="0" applyFont="1" applyFill="1" applyBorder="1" applyAlignment="1">
      <alignment horizontal="center" vertical="center" wrapText="1"/>
    </xf>
    <xf numFmtId="0" fontId="29" fillId="8" borderId="52" xfId="0" applyFont="1" applyFill="1" applyBorder="1" applyAlignment="1">
      <alignment horizontal="center" vertical="center" wrapText="1"/>
    </xf>
    <xf numFmtId="0" fontId="0" fillId="0" borderId="0" xfId="0" pivotButton="1"/>
    <xf numFmtId="0" fontId="45" fillId="0" borderId="1" xfId="0" applyFont="1" applyBorder="1" applyAlignment="1">
      <alignment horizontal="center" vertical="center"/>
    </xf>
    <xf numFmtId="0" fontId="1" fillId="0" borderId="1" xfId="1" applyBorder="1" applyAlignment="1">
      <alignment horizontal="center" vertical="center" readingOrder="1"/>
    </xf>
    <xf numFmtId="16" fontId="0" fillId="0" borderId="0" xfId="0" applyNumberFormat="1"/>
    <xf numFmtId="0" fontId="29" fillId="8" borderId="1" xfId="0" applyFont="1" applyFill="1" applyBorder="1" applyAlignment="1">
      <alignment horizontal="center" vertical="center"/>
    </xf>
    <xf numFmtId="0" fontId="5" fillId="0" borderId="11" xfId="0" applyFont="1" applyBorder="1" applyAlignment="1">
      <alignment horizontal="center" vertical="center"/>
    </xf>
    <xf numFmtId="0" fontId="5" fillId="0" borderId="5" xfId="0" applyFont="1" applyBorder="1" applyAlignment="1">
      <alignment horizontal="center" vertical="center"/>
    </xf>
    <xf numFmtId="0" fontId="6" fillId="0" borderId="5" xfId="0" applyFont="1" applyBorder="1" applyAlignment="1">
      <alignment horizontal="center" vertical="center"/>
    </xf>
    <xf numFmtId="0" fontId="11" fillId="0" borderId="5" xfId="0" applyFont="1" applyBorder="1" applyAlignment="1">
      <alignment horizontal="center" vertical="center"/>
    </xf>
    <xf numFmtId="0" fontId="28" fillId="0" borderId="6" xfId="0" applyFont="1" applyBorder="1" applyAlignment="1">
      <alignment horizontal="center" vertical="center" readingOrder="1"/>
    </xf>
    <xf numFmtId="0" fontId="44" fillId="0" borderId="5" xfId="0" applyFont="1" applyBorder="1" applyAlignment="1">
      <alignment horizontal="center" vertical="center" readingOrder="1"/>
    </xf>
    <xf numFmtId="0" fontId="44" fillId="0" borderId="6" xfId="0" applyFont="1" applyBorder="1" applyAlignment="1">
      <alignment horizontal="center" vertical="center" readingOrder="1"/>
    </xf>
    <xf numFmtId="0" fontId="28" fillId="0" borderId="5" xfId="0" applyFont="1" applyBorder="1" applyAlignment="1">
      <alignment horizontal="center" vertical="center"/>
    </xf>
    <xf numFmtId="0" fontId="29" fillId="8" borderId="51" xfId="0" applyFont="1" applyFill="1" applyBorder="1" applyAlignment="1">
      <alignment horizontal="center" vertical="center"/>
    </xf>
    <xf numFmtId="0" fontId="1" fillId="0" borderId="2" xfId="1" applyBorder="1" applyAlignment="1">
      <alignment horizontal="center" vertical="center" readingOrder="1"/>
    </xf>
    <xf numFmtId="0" fontId="1" fillId="0" borderId="4" xfId="1" applyBorder="1" applyAlignment="1">
      <alignment horizontal="center" vertical="center" readingOrder="1"/>
    </xf>
    <xf numFmtId="0" fontId="46" fillId="0" borderId="3" xfId="0" applyFont="1" applyBorder="1" applyAlignment="1">
      <alignment horizontal="center" vertical="center"/>
    </xf>
    <xf numFmtId="0" fontId="40" fillId="14" borderId="2" xfId="0" applyFont="1" applyFill="1" applyBorder="1" applyAlignment="1">
      <alignment horizontal="center" vertical="center"/>
    </xf>
    <xf numFmtId="0" fontId="40" fillId="5" borderId="2" xfId="0" applyFont="1" applyFill="1" applyBorder="1" applyAlignment="1">
      <alignment horizontal="center" vertical="center"/>
    </xf>
    <xf numFmtId="0" fontId="40" fillId="0" borderId="2" xfId="0" applyFont="1" applyBorder="1" applyAlignment="1">
      <alignment horizontal="center" vertical="center"/>
    </xf>
    <xf numFmtId="0" fontId="40" fillId="15" borderId="2" xfId="0" applyFont="1" applyFill="1" applyBorder="1" applyAlignment="1">
      <alignment horizontal="center" vertical="center"/>
    </xf>
    <xf numFmtId="0" fontId="40" fillId="5" borderId="2" xfId="0" applyFont="1" applyFill="1" applyBorder="1" applyAlignment="1">
      <alignment horizontal="center" vertical="center" wrapText="1"/>
    </xf>
    <xf numFmtId="0" fontId="40" fillId="0" borderId="1" xfId="0" applyFont="1" applyBorder="1" applyAlignment="1">
      <alignment horizontal="center" vertical="center"/>
    </xf>
    <xf numFmtId="0" fontId="40" fillId="9" borderId="2" xfId="0" applyFont="1" applyFill="1" applyBorder="1" applyAlignment="1">
      <alignment horizontal="center" vertical="center"/>
    </xf>
    <xf numFmtId="0" fontId="39" fillId="0" borderId="2" xfId="0" applyFont="1" applyBorder="1" applyAlignment="1">
      <alignment horizontal="center" vertical="center"/>
    </xf>
    <xf numFmtId="0" fontId="39" fillId="14" borderId="2" xfId="0" applyFont="1" applyFill="1" applyBorder="1" applyAlignment="1">
      <alignment horizontal="center" vertical="center"/>
    </xf>
    <xf numFmtId="0" fontId="46" fillId="0" borderId="1" xfId="0" applyFont="1" applyBorder="1" applyAlignment="1">
      <alignment horizontal="center" vertical="center"/>
    </xf>
    <xf numFmtId="0" fontId="40" fillId="0" borderId="14" xfId="0" applyFont="1" applyBorder="1" applyAlignment="1">
      <alignment horizontal="center" vertical="center"/>
    </xf>
    <xf numFmtId="0" fontId="39" fillId="0" borderId="1" xfId="0" applyFont="1" applyBorder="1" applyAlignment="1">
      <alignment horizontal="center" vertical="center"/>
    </xf>
    <xf numFmtId="0" fontId="39" fillId="14" borderId="1" xfId="0" applyFont="1" applyFill="1" applyBorder="1" applyAlignment="1">
      <alignment horizontal="center" vertical="center"/>
    </xf>
    <xf numFmtId="0" fontId="40" fillId="5" borderId="4" xfId="0" applyFont="1" applyFill="1" applyBorder="1" applyAlignment="1">
      <alignment horizontal="center" vertical="center"/>
    </xf>
    <xf numFmtId="0" fontId="42" fillId="0" borderId="1" xfId="0" applyFont="1" applyBorder="1" applyAlignment="1">
      <alignment horizontal="center" vertical="center"/>
    </xf>
    <xf numFmtId="0" fontId="40" fillId="0" borderId="5" xfId="0" applyFont="1" applyBorder="1" applyAlignment="1">
      <alignment horizontal="center" vertical="center" wrapText="1"/>
    </xf>
    <xf numFmtId="0" fontId="40" fillId="0" borderId="0" xfId="0" applyFont="1" applyAlignment="1">
      <alignment horizontal="center" vertical="center" wrapText="1"/>
    </xf>
    <xf numFmtId="0" fontId="40" fillId="5" borderId="1" xfId="0" applyFont="1" applyFill="1" applyBorder="1" applyAlignment="1">
      <alignment horizontal="center" vertical="center" wrapText="1"/>
    </xf>
    <xf numFmtId="0" fontId="40" fillId="0" borderId="1" xfId="0" applyFont="1" applyBorder="1" applyAlignment="1">
      <alignment horizontal="center" vertical="center" wrapText="1"/>
    </xf>
    <xf numFmtId="0" fontId="39" fillId="0" borderId="5" xfId="0" applyFont="1" applyBorder="1" applyAlignment="1">
      <alignment horizontal="center" vertical="center"/>
    </xf>
    <xf numFmtId="0" fontId="39" fillId="14" borderId="14" xfId="0" applyFont="1" applyFill="1" applyBorder="1" applyAlignment="1">
      <alignment horizontal="center" vertical="center"/>
    </xf>
    <xf numFmtId="0" fontId="31" fillId="0" borderId="8" xfId="1" applyFont="1" applyBorder="1" applyAlignment="1">
      <alignment horizontal="center" vertical="center" wrapText="1"/>
    </xf>
    <xf numFmtId="0" fontId="34" fillId="0" borderId="7" xfId="0" applyFont="1" applyBorder="1" applyAlignment="1">
      <alignment horizontal="center" vertical="center" wrapText="1"/>
    </xf>
    <xf numFmtId="0" fontId="34" fillId="0" borderId="2" xfId="0" applyFont="1" applyBorder="1" applyAlignment="1">
      <alignment horizontal="center" vertical="center"/>
    </xf>
    <xf numFmtId="0" fontId="34" fillId="0" borderId="6" xfId="0" applyFont="1" applyBorder="1" applyAlignment="1">
      <alignment horizontal="center" vertical="center"/>
    </xf>
    <xf numFmtId="0" fontId="1" fillId="0" borderId="14" xfId="1" applyBorder="1" applyAlignment="1">
      <alignment horizontal="center" vertical="center" wrapText="1"/>
    </xf>
    <xf numFmtId="0" fontId="34" fillId="0" borderId="15" xfId="0" applyFont="1" applyBorder="1" applyAlignment="1">
      <alignment horizontal="center" vertical="center" wrapText="1"/>
    </xf>
    <xf numFmtId="0" fontId="0" fillId="0" borderId="1" xfId="0" applyBorder="1"/>
    <xf numFmtId="0" fontId="1" fillId="0" borderId="8" xfId="1" applyBorder="1" applyAlignment="1">
      <alignment horizontal="center" vertical="center" wrapText="1"/>
    </xf>
    <xf numFmtId="14" fontId="36" fillId="12" borderId="49" xfId="0" applyNumberFormat="1" applyFont="1" applyFill="1" applyBorder="1" applyAlignment="1">
      <alignment horizontal="center" wrapText="1" readingOrder="1"/>
    </xf>
    <xf numFmtId="0" fontId="35" fillId="11" borderId="46" xfId="0" applyFont="1" applyFill="1" applyBorder="1" applyAlignment="1">
      <alignment horizontal="center" vertical="center" readingOrder="1"/>
    </xf>
    <xf numFmtId="0" fontId="35" fillId="11" borderId="47" xfId="0" applyFont="1" applyFill="1" applyBorder="1" applyAlignment="1">
      <alignment horizontal="center" vertical="center" readingOrder="1"/>
    </xf>
    <xf numFmtId="0" fontId="35" fillId="11" borderId="47" xfId="0" applyFont="1" applyFill="1" applyBorder="1" applyAlignment="1">
      <alignment horizontal="center" vertical="center" wrapText="1" readingOrder="1"/>
    </xf>
    <xf numFmtId="0" fontId="0" fillId="0" borderId="2" xfId="0" applyBorder="1"/>
    <xf numFmtId="0" fontId="0" fillId="0" borderId="6" xfId="0" applyBorder="1"/>
    <xf numFmtId="0" fontId="0" fillId="0" borderId="1" xfId="0" quotePrefix="1" applyBorder="1" applyAlignment="1">
      <alignment horizontal="center" vertical="center"/>
    </xf>
    <xf numFmtId="0" fontId="1" fillId="0" borderId="1" xfId="1" quotePrefix="1" applyBorder="1" applyAlignment="1">
      <alignment horizontal="center" vertical="center" wrapText="1"/>
    </xf>
    <xf numFmtId="1" fontId="2"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28" fillId="0" borderId="1" xfId="0" applyFont="1" applyBorder="1" applyAlignment="1">
      <alignment horizontal="center" vertical="center" wrapText="1" readingOrder="1"/>
    </xf>
    <xf numFmtId="0" fontId="2" fillId="0" borderId="1" xfId="0" applyFont="1" applyBorder="1" applyAlignment="1">
      <alignment horizontal="center" vertical="center" wrapText="1"/>
    </xf>
    <xf numFmtId="0" fontId="15" fillId="0" borderId="2" xfId="1" applyFont="1" applyBorder="1" applyAlignment="1">
      <alignment horizontal="center" vertical="center" wrapText="1"/>
    </xf>
    <xf numFmtId="0" fontId="15" fillId="0" borderId="4" xfId="1" applyFont="1" applyBorder="1" applyAlignment="1">
      <alignment horizontal="center" vertical="center" wrapText="1"/>
    </xf>
    <xf numFmtId="0" fontId="3" fillId="0" borderId="2" xfId="1" applyFont="1" applyBorder="1" applyAlignment="1">
      <alignment horizontal="center" vertical="center" wrapText="1"/>
    </xf>
    <xf numFmtId="0" fontId="3" fillId="0" borderId="4" xfId="1" applyFont="1" applyBorder="1" applyAlignment="1">
      <alignment horizontal="center" vertical="center" wrapText="1"/>
    </xf>
    <xf numFmtId="0" fontId="2" fillId="0" borderId="10" xfId="0" applyFont="1" applyBorder="1" applyAlignment="1">
      <alignment horizontal="center" vertical="center"/>
    </xf>
    <xf numFmtId="0" fontId="2" fillId="0" borderId="1" xfId="1" applyFont="1" applyBorder="1" applyAlignment="1">
      <alignment horizontal="center" vertical="center" wrapText="1"/>
    </xf>
    <xf numFmtId="0" fontId="3" fillId="0" borderId="1" xfId="1" applyFont="1" applyBorder="1" applyAlignment="1">
      <alignment horizontal="center" vertical="center" wrapText="1"/>
    </xf>
    <xf numFmtId="0" fontId="6" fillId="0" borderId="1" xfId="0" applyFont="1" applyBorder="1" applyAlignment="1">
      <alignment horizontal="center" vertical="center" wrapText="1"/>
    </xf>
    <xf numFmtId="0" fontId="15" fillId="0" borderId="1" xfId="1"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14" fontId="2" fillId="0" borderId="1" xfId="0" applyNumberFormat="1" applyFont="1" applyBorder="1" applyAlignment="1">
      <alignment horizontal="center" vertical="center"/>
    </xf>
    <xf numFmtId="0" fontId="6" fillId="0" borderId="1" xfId="0" applyFont="1" applyBorder="1" applyAlignment="1">
      <alignment horizontal="center" vertical="center"/>
    </xf>
    <xf numFmtId="0" fontId="17" fillId="0" borderId="1" xfId="0" applyFont="1" applyBorder="1" applyAlignment="1">
      <alignment horizontal="center" vertical="center" wrapText="1"/>
    </xf>
    <xf numFmtId="0" fontId="1" fillId="0" borderId="1" xfId="1" applyBorder="1" applyAlignment="1">
      <alignment horizontal="center" vertical="center" wrapText="1"/>
    </xf>
    <xf numFmtId="0" fontId="8" fillId="0" borderId="1" xfId="0" applyFont="1" applyBorder="1" applyAlignment="1">
      <alignment horizontal="center" vertical="center" wrapText="1"/>
    </xf>
    <xf numFmtId="0" fontId="3" fillId="0" borderId="1" xfId="1" applyFont="1" applyFill="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14" fontId="2" fillId="0" borderId="2" xfId="0" applyNumberFormat="1" applyFont="1" applyBorder="1" applyAlignment="1">
      <alignment horizontal="center" vertical="center" wrapText="1"/>
    </xf>
    <xf numFmtId="14" fontId="2" fillId="0" borderId="4" xfId="0" applyNumberFormat="1" applyFont="1" applyBorder="1" applyAlignment="1">
      <alignment horizontal="center" vertical="center" wrapText="1"/>
    </xf>
    <xf numFmtId="0" fontId="2" fillId="0" borderId="4" xfId="0" applyFont="1" applyBorder="1" applyAlignment="1">
      <alignment horizontal="center" vertical="center"/>
    </xf>
    <xf numFmtId="0" fontId="37" fillId="0" borderId="0" xfId="0" applyFont="1" applyAlignment="1">
      <alignment horizontal="center"/>
    </xf>
    <xf numFmtId="0" fontId="2" fillId="0" borderId="6" xfId="0" applyFont="1" applyBorder="1" applyAlignment="1">
      <alignment horizontal="center" vertical="center"/>
    </xf>
    <xf numFmtId="0" fontId="2" fillId="0" borderId="11" xfId="0" applyFont="1" applyBorder="1" applyAlignment="1">
      <alignment horizontal="center" vertical="center"/>
    </xf>
    <xf numFmtId="0" fontId="1" fillId="0" borderId="1" xfId="1" applyBorder="1" applyAlignment="1">
      <alignment horizontal="center" vertical="center"/>
    </xf>
    <xf numFmtId="0" fontId="1" fillId="0" borderId="9" xfId="1" applyBorder="1" applyAlignment="1">
      <alignment horizontal="center" vertical="center" wrapText="1"/>
    </xf>
    <xf numFmtId="0" fontId="1" fillId="0" borderId="0" xfId="1" applyBorder="1" applyAlignment="1">
      <alignment horizontal="center" vertical="center" wrapText="1"/>
    </xf>
    <xf numFmtId="0" fontId="1" fillId="0" borderId="10" xfId="1" applyBorder="1" applyAlignment="1">
      <alignment horizontal="center" vertical="center" wrapText="1"/>
    </xf>
    <xf numFmtId="0" fontId="1" fillId="0" borderId="11" xfId="1" applyBorder="1" applyAlignment="1">
      <alignment horizontal="center" vertical="center" wrapText="1"/>
    </xf>
    <xf numFmtId="0" fontId="1" fillId="0" borderId="12" xfId="1" applyBorder="1" applyAlignment="1">
      <alignment horizontal="center" vertical="center" wrapText="1"/>
    </xf>
    <xf numFmtId="0" fontId="1" fillId="0" borderId="13" xfId="1" applyBorder="1" applyAlignment="1">
      <alignment horizontal="center" vertical="center" wrapText="1"/>
    </xf>
    <xf numFmtId="0" fontId="1" fillId="0" borderId="6" xfId="1" applyBorder="1" applyAlignment="1">
      <alignment horizontal="center" vertical="center" wrapText="1"/>
    </xf>
    <xf numFmtId="0" fontId="1" fillId="0" borderId="7" xfId="1" applyBorder="1" applyAlignment="1">
      <alignment horizontal="center" vertical="center" wrapText="1"/>
    </xf>
    <xf numFmtId="0" fontId="1" fillId="0" borderId="8" xfId="1" applyBorder="1" applyAlignment="1">
      <alignment horizontal="center" vertical="center" wrapText="1"/>
    </xf>
    <xf numFmtId="0" fontId="37" fillId="0" borderId="0" xfId="0" applyFont="1" applyAlignment="1">
      <alignment horizontal="center" readingOrder="1"/>
    </xf>
    <xf numFmtId="0" fontId="7" fillId="0" borderId="1" xfId="0" applyFont="1" applyBorder="1" applyAlignment="1">
      <alignment horizontal="center" vertical="center" wrapText="1"/>
    </xf>
    <xf numFmtId="0" fontId="1" fillId="0" borderId="0" xfId="1" applyAlignment="1">
      <alignment horizontal="center"/>
    </xf>
    <xf numFmtId="0" fontId="16" fillId="0" borderId="1" xfId="0" applyFont="1" applyBorder="1" applyAlignment="1">
      <alignment horizontal="center" vertical="center"/>
    </xf>
    <xf numFmtId="0" fontId="26" fillId="0" borderId="1" xfId="1" applyFont="1" applyBorder="1" applyAlignment="1">
      <alignment horizontal="center" vertical="center" wrapText="1"/>
    </xf>
    <xf numFmtId="0" fontId="9" fillId="0" borderId="5" xfId="0" applyFont="1" applyBorder="1" applyAlignment="1">
      <alignment horizontal="center" vertical="center"/>
    </xf>
    <xf numFmtId="0" fontId="9" fillId="0" borderId="15" xfId="0" applyFont="1" applyBorder="1" applyAlignment="1">
      <alignment horizontal="center" vertical="center"/>
    </xf>
    <xf numFmtId="0" fontId="9" fillId="0" borderId="14" xfId="0" applyFont="1" applyBorder="1" applyAlignment="1">
      <alignment horizontal="center" vertical="center"/>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xf numFmtId="0" fontId="3" fillId="0" borderId="9" xfId="1" applyFont="1" applyBorder="1" applyAlignment="1">
      <alignment horizontal="center" vertical="center" wrapText="1"/>
    </xf>
    <xf numFmtId="0" fontId="3" fillId="0" borderId="0" xfId="1" applyFont="1" applyBorder="1" applyAlignment="1">
      <alignment horizontal="center" vertical="center" wrapText="1"/>
    </xf>
    <xf numFmtId="0" fontId="3" fillId="0" borderId="10" xfId="1" applyFont="1" applyBorder="1" applyAlignment="1">
      <alignment horizontal="center" vertical="center" wrapText="1"/>
    </xf>
    <xf numFmtId="0" fontId="3" fillId="0" borderId="11" xfId="1" applyFont="1" applyBorder="1" applyAlignment="1">
      <alignment horizontal="center" vertical="center" wrapText="1"/>
    </xf>
    <xf numFmtId="0" fontId="3" fillId="0" borderId="12" xfId="1" applyFont="1" applyBorder="1" applyAlignment="1">
      <alignment horizontal="center" vertical="center" wrapText="1"/>
    </xf>
    <xf numFmtId="0" fontId="3" fillId="0" borderId="13" xfId="1" applyFont="1" applyBorder="1" applyAlignment="1">
      <alignment horizontal="center" vertical="center" wrapText="1"/>
    </xf>
    <xf numFmtId="0" fontId="5" fillId="0" borderId="2" xfId="0" applyFont="1" applyBorder="1" applyAlignment="1">
      <alignment horizontal="center" vertical="center" wrapText="1"/>
    </xf>
    <xf numFmtId="0" fontId="3" fillId="0" borderId="1" xfId="1" applyFont="1" applyBorder="1" applyAlignment="1">
      <alignment horizontal="center" vertical="center"/>
    </xf>
    <xf numFmtId="0" fontId="1" fillId="0" borderId="0" xfId="1" applyAlignment="1">
      <alignment horizontal="center" vertical="center"/>
    </xf>
    <xf numFmtId="0" fontId="5"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14" fontId="2" fillId="0" borderId="2" xfId="0" applyNumberFormat="1" applyFont="1" applyBorder="1" applyAlignment="1">
      <alignment horizontal="center" vertical="center"/>
    </xf>
    <xf numFmtId="0" fontId="10" fillId="4"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11" fillId="3" borderId="1" xfId="0" applyFont="1" applyFill="1" applyBorder="1" applyAlignment="1">
      <alignment horizontal="center" wrapText="1"/>
    </xf>
    <xf numFmtId="0" fontId="1" fillId="2" borderId="1" xfId="1" applyFill="1" applyBorder="1" applyAlignment="1">
      <alignment horizontal="center" vertical="center" wrapText="1"/>
    </xf>
    <xf numFmtId="0" fontId="2" fillId="0" borderId="5" xfId="0" applyFont="1" applyBorder="1" applyAlignment="1">
      <alignment horizontal="center" vertical="center"/>
    </xf>
    <xf numFmtId="0" fontId="2" fillId="0" borderId="14" xfId="0" applyFont="1" applyBorder="1" applyAlignment="1">
      <alignment horizontal="center" vertical="center"/>
    </xf>
    <xf numFmtId="0" fontId="11" fillId="3" borderId="1"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2" fillId="0" borderId="26" xfId="0" applyFont="1" applyBorder="1" applyAlignment="1">
      <alignment horizontal="center" vertical="center"/>
    </xf>
    <xf numFmtId="0" fontId="2" fillId="0" borderId="25" xfId="0" applyFont="1" applyBorder="1" applyAlignment="1">
      <alignment horizontal="center" vertical="center"/>
    </xf>
    <xf numFmtId="0" fontId="18" fillId="5" borderId="1" xfId="0" applyFont="1" applyFill="1" applyBorder="1" applyAlignment="1">
      <alignment horizontal="center" vertical="center" wrapText="1"/>
    </xf>
    <xf numFmtId="0" fontId="6" fillId="0" borderId="1" xfId="0" applyFont="1" applyBorder="1" applyAlignment="1">
      <alignment horizontal="center" vertical="top" wrapText="1"/>
    </xf>
    <xf numFmtId="0" fontId="0" fillId="0" borderId="5" xfId="0" applyBorder="1" applyAlignment="1">
      <alignment horizontal="center" vertical="center"/>
    </xf>
    <xf numFmtId="0" fontId="0" fillId="0" borderId="6" xfId="0" applyBorder="1" applyAlignment="1">
      <alignment horizontal="center" vertical="center"/>
    </xf>
    <xf numFmtId="14" fontId="0" fillId="0" borderId="5" xfId="0" applyNumberFormat="1" applyBorder="1" applyAlignment="1">
      <alignment horizontal="center" vertical="center"/>
    </xf>
    <xf numFmtId="14" fontId="0" fillId="0" borderId="6" xfId="0" applyNumberFormat="1" applyBorder="1" applyAlignment="1">
      <alignment horizontal="center" vertical="center"/>
    </xf>
    <xf numFmtId="0" fontId="0" fillId="0" borderId="1" xfId="0" applyBorder="1" applyAlignment="1">
      <alignment horizontal="center" vertical="center"/>
    </xf>
    <xf numFmtId="0" fontId="0" fillId="0" borderId="14" xfId="0" applyBorder="1" applyAlignment="1">
      <alignment horizontal="center" vertical="center"/>
    </xf>
    <xf numFmtId="0" fontId="0" fillId="0" borderId="7" xfId="0" applyBorder="1" applyAlignment="1">
      <alignment horizontal="center" vertical="center"/>
    </xf>
    <xf numFmtId="0" fontId="31" fillId="0" borderId="1" xfId="1" applyFont="1" applyBorder="1" applyAlignment="1">
      <alignment horizontal="center" vertical="center" wrapText="1"/>
    </xf>
    <xf numFmtId="0" fontId="31" fillId="0" borderId="2" xfId="1" applyFont="1" applyBorder="1" applyAlignment="1">
      <alignment horizontal="center" vertical="center" wrapText="1"/>
    </xf>
    <xf numFmtId="0" fontId="34" fillId="0" borderId="5" xfId="0" applyFont="1" applyBorder="1" applyAlignment="1">
      <alignment horizontal="center" vertical="center" wrapText="1"/>
    </xf>
    <xf numFmtId="0" fontId="34" fillId="0" borderId="6" xfId="0" applyFon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34" fillId="0" borderId="15" xfId="0" applyFont="1" applyBorder="1" applyAlignment="1">
      <alignment horizontal="center" vertical="center" wrapText="1"/>
    </xf>
    <xf numFmtId="0" fontId="34" fillId="0" borderId="7" xfId="0" applyFont="1" applyBorder="1" applyAlignment="1">
      <alignment horizontal="center" vertical="center" wrapText="1"/>
    </xf>
    <xf numFmtId="0" fontId="0" fillId="0" borderId="8"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34" fillId="0" borderId="2" xfId="0" applyFont="1" applyBorder="1" applyAlignment="1">
      <alignment horizontal="center" vertical="center" wrapText="1"/>
    </xf>
    <xf numFmtId="0" fontId="34" fillId="0" borderId="3" xfId="0" applyFont="1" applyBorder="1" applyAlignment="1">
      <alignment horizontal="center" vertical="center" wrapText="1"/>
    </xf>
    <xf numFmtId="0" fontId="34" fillId="0" borderId="4"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0" fontId="0" fillId="0" borderId="3" xfId="0" applyBorder="1" applyAlignment="1">
      <alignment horizontal="center" vertical="center" wrapText="1"/>
    </xf>
    <xf numFmtId="0" fontId="31" fillId="0" borderId="3" xfId="1" applyFont="1" applyBorder="1" applyAlignment="1">
      <alignment horizontal="center" vertical="center" wrapText="1"/>
    </xf>
    <xf numFmtId="14" fontId="0" fillId="0" borderId="15" xfId="0" applyNumberFormat="1" applyBorder="1" applyAlignment="1">
      <alignment horizontal="center" vertical="center"/>
    </xf>
    <xf numFmtId="0" fontId="0" fillId="0" borderId="9" xfId="0" applyBorder="1" applyAlignment="1">
      <alignment horizontal="center" vertical="center" wrapText="1"/>
    </xf>
    <xf numFmtId="14" fontId="0" fillId="0" borderId="8" xfId="0" applyNumberFormat="1" applyBorder="1" applyAlignment="1">
      <alignment horizontal="center" vertical="center"/>
    </xf>
    <xf numFmtId="14" fontId="0" fillId="0" borderId="10" xfId="0" applyNumberFormat="1" applyBorder="1" applyAlignment="1">
      <alignment horizontal="center" vertical="center"/>
    </xf>
    <xf numFmtId="14" fontId="0" fillId="0" borderId="7" xfId="0" applyNumberFormat="1" applyBorder="1" applyAlignment="1">
      <alignment horizontal="center" vertical="center"/>
    </xf>
    <xf numFmtId="0" fontId="0" fillId="0" borderId="10" xfId="0" applyBorder="1" applyAlignment="1">
      <alignment horizontal="center" vertical="center"/>
    </xf>
    <xf numFmtId="0" fontId="7" fillId="0" borderId="2" xfId="0" applyFont="1" applyBorder="1" applyAlignment="1">
      <alignment horizontal="center" vertical="center" wrapText="1" readingOrder="1"/>
    </xf>
    <xf numFmtId="0" fontId="7" fillId="0" borderId="3" xfId="0" applyFont="1" applyBorder="1" applyAlignment="1">
      <alignment horizontal="center" vertical="center" wrapText="1" readingOrder="1"/>
    </xf>
    <xf numFmtId="0" fontId="7" fillId="0" borderId="4" xfId="0" applyFont="1" applyBorder="1" applyAlignment="1">
      <alignment horizontal="center" vertical="center" wrapText="1" readingOrder="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1" fillId="0" borderId="8" xfId="1" applyFont="1" applyBorder="1" applyAlignment="1">
      <alignment horizontal="center" vertical="center" wrapText="1"/>
    </xf>
    <xf numFmtId="14" fontId="0" fillId="0" borderId="13" xfId="0" applyNumberFormat="1" applyBorder="1" applyAlignment="1">
      <alignment horizontal="center" vertical="center"/>
    </xf>
    <xf numFmtId="14" fontId="2" fillId="0" borderId="3" xfId="0" applyNumberFormat="1" applyFont="1" applyBorder="1" applyAlignment="1">
      <alignment horizontal="center" vertical="center" wrapText="1"/>
    </xf>
    <xf numFmtId="0" fontId="31" fillId="0" borderId="14" xfId="1" applyFont="1" applyBorder="1" applyAlignment="1">
      <alignment horizontal="center" vertical="center" wrapText="1"/>
    </xf>
    <xf numFmtId="0" fontId="0" fillId="0" borderId="15" xfId="0" applyBorder="1" applyAlignment="1">
      <alignment horizontal="center" vertical="center"/>
    </xf>
    <xf numFmtId="14" fontId="0" fillId="0" borderId="14" xfId="0" applyNumberFormat="1" applyBorder="1" applyAlignment="1">
      <alignment horizontal="center" vertical="center"/>
    </xf>
    <xf numFmtId="0" fontId="0" fillId="0" borderId="4" xfId="0" applyBorder="1" applyAlignment="1">
      <alignment horizontal="center" vertical="center"/>
    </xf>
    <xf numFmtId="0" fontId="33" fillId="5"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23</xdr:row>
      <xdr:rowOff>95250</xdr:rowOff>
    </xdr:from>
    <xdr:to>
      <xdr:col>5</xdr:col>
      <xdr:colOff>323850</xdr:colOff>
      <xdr:row>39</xdr:row>
      <xdr:rowOff>0</xdr:rowOff>
    </xdr:to>
    <xdr:pic>
      <xdr:nvPicPr>
        <xdr:cNvPr id="3" name="Picture 1">
          <a:extLst>
            <a:ext uri="{FF2B5EF4-FFF2-40B4-BE49-F238E27FC236}">
              <a16:creationId xmlns:a16="http://schemas.microsoft.com/office/drawing/2014/main" id="{72BDAA22-3227-D389-3B8B-13C32D43EB66}"/>
            </a:ext>
          </a:extLst>
        </xdr:cNvPr>
        <xdr:cNvPicPr>
          <a:picLocks noChangeAspect="1"/>
        </xdr:cNvPicPr>
      </xdr:nvPicPr>
      <xdr:blipFill>
        <a:blip xmlns:r="http://schemas.openxmlformats.org/officeDocument/2006/relationships" r:embed="rId1"/>
        <a:stretch>
          <a:fillRect/>
        </a:stretch>
      </xdr:blipFill>
      <xdr:spPr>
        <a:xfrm>
          <a:off x="714375" y="4781550"/>
          <a:ext cx="2705100" cy="33909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85.411920138889" createdVersion="8" refreshedVersion="8" minRefreshableVersion="3" recordCount="36" xr:uid="{E00CCDA3-CC0B-41B2-A8AD-C8C9AFE66C46}">
  <cacheSource type="worksheet">
    <worksheetSource ref="B2:J38" sheet="Store Launch Details"/>
  </cacheSource>
  <cacheFields count="9">
    <cacheField name="Sno" numFmtId="0">
      <sharedItems containsString="0" containsBlank="1" containsNumber="1" containsInteger="1" minValue="1" maxValue="29"/>
    </cacheField>
    <cacheField name="Month" numFmtId="0">
      <sharedItems count="10">
        <s v="Jan"/>
        <s v="Feb"/>
        <s v="Mar"/>
        <s v="Apr"/>
        <s v="May"/>
        <s v="Jul"/>
        <s v="Aug"/>
        <s v="Sep"/>
        <s v="Oct"/>
        <s v="Nov"/>
      </sharedItems>
    </cacheField>
    <cacheField name="Store type" numFmtId="0">
      <sharedItems containsBlank="1"/>
    </cacheField>
    <cacheField name="Store name" numFmtId="0">
      <sharedItems/>
    </cacheField>
    <cacheField name="ELP start date" numFmtId="14">
      <sharedItems containsSemiMixedTypes="0" containsNonDate="0" containsDate="1" containsString="0" minDate="2025-01-13T00:00:00" maxDate="2025-11-23T00:00:00"/>
    </cacheField>
    <cacheField name="ELP modification date(If any)" numFmtId="0">
      <sharedItems containsDate="1" containsBlank="1" containsMixedTypes="1" minDate="2025-03-04T00:00:00" maxDate="2025-10-07T00:00:00"/>
    </cacheField>
    <cacheField name="ELP end date" numFmtId="14">
      <sharedItems containsSemiMixedTypes="0" containsNonDate="0" containsDate="1" containsString="0" minDate="2025-01-21T00:00:00" maxDate="2025-11-24T00:00:00"/>
    </cacheField>
    <cacheField name="Refinement" numFmtId="0">
      <sharedItems containsSemiMixedTypes="0" containsString="0" containsNumber="1" containsInteger="1" minValue="0" maxValue="8"/>
    </cacheField>
    <cacheField name="Is it launched" numFmtId="0">
      <sharedItems count="2">
        <s v="Yes"/>
        <s v="N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n v="1"/>
    <x v="0"/>
    <s v="Non-Event"/>
    <s v="HMHW - Cyprass"/>
    <d v="2025-01-13T00:00:00"/>
    <s v="1/17/2025, 1/18/2025, 1/21/2025"/>
    <d v="2025-01-21T00:00:00"/>
    <n v="3"/>
    <x v="0"/>
  </r>
  <r>
    <n v="2"/>
    <x v="0"/>
    <s v="Event"/>
    <s v="Energizer store"/>
    <d v="2025-01-16T00:00:00"/>
    <s v="1/17/2025, 1/18/2025, 1/20/2025, 1/23/2025. 1/24/2025, 2/1/2025, 2/24/2025, 2/25/2025"/>
    <d v="2025-02-25T00:00:00"/>
    <n v="8"/>
    <x v="0"/>
  </r>
  <r>
    <n v="3"/>
    <x v="0"/>
    <s v="Non-Event"/>
    <s v="MGI TERMINAL D"/>
    <d v="2025-01-24T00:00:00"/>
    <s v="1/27/2025, 1/28/2025, 1/29/2025, 1/30/2025, 1/31/2025, 2/8/2025. 2/10/2025, 2/17/2025, "/>
    <d v="2025-02-17T00:00:00"/>
    <n v="8"/>
    <x v="0"/>
  </r>
  <r>
    <n v="4"/>
    <x v="1"/>
    <s v="Event"/>
    <s v="CAPITAL ONE ARENA (Chicken tender 402)"/>
    <d v="2025-02-03T00:00:00"/>
    <s v="2/4/2025, 2/5/2025, 2/6/2025"/>
    <d v="2025-02-06T00:00:00"/>
    <n v="3"/>
    <x v="0"/>
  </r>
  <r>
    <m/>
    <x v="1"/>
    <m/>
    <s v="CAPITAL ONE ARENA (Federal favorites 402)"/>
    <d v="2025-02-03T00:00:00"/>
    <s v="2/4/2025, 2/5/2025, 2/6/2025, "/>
    <d v="2025-02-06T00:00:00"/>
    <n v="3"/>
    <x v="0"/>
  </r>
  <r>
    <m/>
    <x v="1"/>
    <m/>
    <s v="CAPITAL ONE ARENA (District favorites 102)"/>
    <d v="2025-02-03T00:00:00"/>
    <s v="2/4/2025, 2/5/2025, 2/6/2025, 4/4/2025"/>
    <d v="2025-02-06T00:00:00"/>
    <n v="4"/>
    <x v="0"/>
  </r>
  <r>
    <m/>
    <x v="1"/>
    <m/>
    <s v="CAPITAL ONE ARENA (Federal favorites 112)"/>
    <d v="2025-02-03T00:00:00"/>
    <s v="2/4/2025, 2/5/2025, 2/6/2025,"/>
    <d v="2025-02-06T00:00:00"/>
    <n v="3"/>
    <x v="0"/>
  </r>
  <r>
    <n v="5"/>
    <x v="1"/>
    <s v="Event"/>
    <s v="PADRESS-PETCO PARK (126-Ballpark eats)"/>
    <d v="2025-02-27T00:00:00"/>
    <s v="2/28/2025, 3/3/2025"/>
    <d v="2025-03-03T00:00:00"/>
    <n v="2"/>
    <x v="0"/>
  </r>
  <r>
    <m/>
    <x v="1"/>
    <m/>
    <s v="PADRESS-PETCO PARK (135-Ballpark eats)"/>
    <d v="2025-02-27T00:00:00"/>
    <m/>
    <d v="2025-03-03T00:00:00"/>
    <n v="2"/>
    <x v="0"/>
  </r>
  <r>
    <n v="6"/>
    <x v="2"/>
    <s v="Event"/>
    <s v="CEVIO"/>
    <d v="2025-03-03T00:00:00"/>
    <d v="2025-03-04T00:00:00"/>
    <d v="2025-03-04T00:00:00"/>
    <n v="1"/>
    <x v="1"/>
  </r>
  <r>
    <n v="7"/>
    <x v="3"/>
    <s v="Non-Event"/>
    <s v="MGI TERMINAL B"/>
    <d v="2025-04-03T00:00:00"/>
    <s v="4/4/2025,4/5/2025,4/10/2025, 4/25/2025, 4/28/2025"/>
    <d v="2025-04-28T00:00:00"/>
    <n v="5"/>
    <x v="0"/>
  </r>
  <r>
    <n v="8"/>
    <x v="3"/>
    <s v="Event"/>
    <s v="NRG STADIUM (Model 1 - 506, 536)"/>
    <d v="2025-04-11T00:00:00"/>
    <s v="4/11/2025, 4/14/2025, 4/15/2025, 4/16/2025, 4/25/2025, 4/28/2025, , 5/14/2025, 5/22/2025"/>
    <d v="2025-04-16T00:00:00"/>
    <n v="4"/>
    <x v="0"/>
  </r>
  <r>
    <m/>
    <x v="3"/>
    <m/>
    <s v="NRG STADIUM (Model 2)"/>
    <d v="2025-04-11T00:00:00"/>
    <m/>
    <d v="2025-05-24T00:00:00"/>
    <n v="5"/>
    <x v="0"/>
  </r>
  <r>
    <n v="9"/>
    <x v="3"/>
    <s v="Event"/>
    <s v="Cynthia Woods Mitchell Pavilion - North - CWMP"/>
    <d v="2025-04-16T00:00:00"/>
    <s v="4/16/2025, 4/17/2025_x000a_"/>
    <d v="2025-04-17T00:00:00"/>
    <n v="2"/>
    <x v="0"/>
  </r>
  <r>
    <m/>
    <x v="3"/>
    <m/>
    <s v="Cynthia Woods Mitchell Pavilion - South - CWMP"/>
    <d v="2025-04-16T00:00:00"/>
    <m/>
    <d v="2025-04-17T00:00:00"/>
    <n v="2"/>
    <x v="0"/>
  </r>
  <r>
    <n v="10"/>
    <x v="4"/>
    <s v="Event"/>
    <s v="Pepsi Grab &amp; Go"/>
    <d v="2025-05-05T00:00:00"/>
    <d v="2025-05-05T00:00:00"/>
    <d v="2025-05-05T00:00:00"/>
    <n v="1"/>
    <x v="1"/>
  </r>
  <r>
    <n v="11"/>
    <x v="4"/>
    <s v="Event"/>
    <s v="Public Bar"/>
    <d v="2025-05-06T00:00:00"/>
    <s v="5/6/2025, 5/7/2025"/>
    <d v="2025-05-07T00:00:00"/>
    <n v="2"/>
    <x v="1"/>
  </r>
  <r>
    <n v="12"/>
    <x v="4"/>
    <s v="Event"/>
    <s v="Elior – ST Micro Crolles ELP (7 CAMERA PLAN)"/>
    <d v="2025-05-17T00:00:00"/>
    <d v="2025-05-21T00:00:00"/>
    <d v="2025-05-21T00:00:00"/>
    <n v="1"/>
    <x v="0"/>
  </r>
  <r>
    <m/>
    <x v="4"/>
    <m/>
    <s v="Elior – ST Micro Crolles ELP (6 CAMERA PLAN)"/>
    <d v="2025-05-17T00:00:00"/>
    <d v="2025-05-21T00:00:00"/>
    <d v="2025-05-21T00:00:00"/>
    <n v="1"/>
    <x v="1"/>
  </r>
  <r>
    <n v="13"/>
    <x v="4"/>
    <s v="Non-Event"/>
    <s v="MGI TERMINAL C"/>
    <d v="2025-05-22T00:00:00"/>
    <s v="5/23/2025, 6/27/2025,9/19/2025"/>
    <d v="2025-09-19T00:00:00"/>
    <n v="3"/>
    <x v="1"/>
  </r>
  <r>
    <n v="14"/>
    <x v="5"/>
    <s v="Non-Event"/>
    <s v="SAP Mart"/>
    <d v="2025-07-18T00:00:00"/>
    <s v="7/22/2025, 7/23/2025"/>
    <d v="2025-07-23T00:00:00"/>
    <n v="2"/>
    <x v="0"/>
  </r>
  <r>
    <n v="15"/>
    <x v="5"/>
    <s v="Non-Event"/>
    <s v="Aerostar"/>
    <d v="2025-07-21T00:00:00"/>
    <d v="2025-07-22T00:00:00"/>
    <d v="2025-07-22T00:00:00"/>
    <n v="1"/>
    <x v="1"/>
  </r>
  <r>
    <n v="16"/>
    <x v="5"/>
    <s v="Event"/>
    <s v="Capital One - 432"/>
    <d v="2025-07-30T00:00:00"/>
    <d v="2025-07-31T00:00:00"/>
    <d v="2025-07-31T00:00:00"/>
    <n v="1"/>
    <x v="0"/>
  </r>
  <r>
    <n v="17"/>
    <x v="5"/>
    <s v="Event"/>
    <s v="Capital One - 402"/>
    <d v="2025-07-30T00:00:00"/>
    <d v="2025-07-31T00:00:00"/>
    <d v="2025-07-31T00:00:00"/>
    <n v="1"/>
    <x v="0"/>
  </r>
  <r>
    <n v="18"/>
    <x v="5"/>
    <s v="Non-Event"/>
    <s v="Capital One - 200"/>
    <d v="2025-07-30T00:00:00"/>
    <d v="2025-08-19T00:00:00"/>
    <d v="2025-08-19T00:00:00"/>
    <n v="1"/>
    <x v="0"/>
  </r>
  <r>
    <n v="19"/>
    <x v="6"/>
    <s v="Non-Event"/>
    <s v="ELIOR STORE"/>
    <d v="2025-08-01T00:00:00"/>
    <d v="2025-08-07T00:00:00"/>
    <d v="2025-08-07T00:00:00"/>
    <n v="1"/>
    <x v="1"/>
  </r>
  <r>
    <n v="20"/>
    <x v="6"/>
    <s v="Event"/>
    <s v="ROYAL 1 BASE 3 Pack"/>
    <d v="2025-08-22T00:00:00"/>
    <s v="8/23/2025, 9/18/2025, 9/19/2025,9/23/2025"/>
    <d v="2025-09-23T00:00:00"/>
    <n v="4"/>
    <x v="1"/>
  </r>
  <r>
    <n v="21"/>
    <x v="6"/>
    <s v="Non-Event"/>
    <s v="LLT - MAGNUM"/>
    <d v="2025-08-26T00:00:00"/>
    <m/>
    <d v="2025-08-26T00:00:00"/>
    <n v="0"/>
    <x v="1"/>
  </r>
  <r>
    <n v="22"/>
    <x v="7"/>
    <s v="Non-Event"/>
    <s v="Houston Methodist Willowbrook - South Tower"/>
    <d v="2025-09-10T00:00:00"/>
    <d v="2025-10-06T00:00:00"/>
    <d v="2025-10-06T00:00:00"/>
    <n v="1"/>
    <x v="1"/>
  </r>
  <r>
    <n v="23"/>
    <x v="7"/>
    <s v="Event"/>
    <s v="MCG BAR-1-19"/>
    <d v="2025-09-11T00:00:00"/>
    <s v="9/12/2025, 9/22/2025, 9/23/2025, 10/6/2025, 10/15/2025, 11/13/2025"/>
    <d v="2025-11-13T00:00:00"/>
    <n v="6"/>
    <x v="1"/>
  </r>
  <r>
    <n v="24"/>
    <x v="7"/>
    <s v="Non-Event"/>
    <s v="Manulife Toronto"/>
    <d v="2025-09-13T00:00:00"/>
    <d v="2025-09-16T00:00:00"/>
    <d v="2025-09-16T00:00:00"/>
    <n v="1"/>
    <x v="1"/>
  </r>
  <r>
    <n v="25"/>
    <x v="7"/>
    <s v="Event"/>
    <s v="MCG BAR-155"/>
    <d v="2025-09-22T00:00:00"/>
    <s v="9/23/2025, 10/3/2025,  10/6/2025, 10/15/2025, 11/13/2025"/>
    <d v="2025-11-13T00:00:00"/>
    <n v="5"/>
    <x v="1"/>
  </r>
  <r>
    <n v="26"/>
    <x v="8"/>
    <s v="Event"/>
    <s v="Zippin Lane C27 DFW"/>
    <d v="2025-10-10T00:00:00"/>
    <s v="10/11/2025, 10/13/2025"/>
    <d v="2025-10-13T00:00:00"/>
    <n v="2"/>
    <x v="1"/>
  </r>
  <r>
    <n v="27"/>
    <x v="8"/>
    <s v="Non-Event"/>
    <s v="Ohio University-Baker Center"/>
    <d v="2025-10-24T00:00:00"/>
    <m/>
    <d v="2025-10-24T00:00:00"/>
    <n v="0"/>
    <x v="1"/>
  </r>
  <r>
    <n v="28"/>
    <x v="9"/>
    <s v="Event"/>
    <s v="MCG Bar-1-05"/>
    <d v="2025-11-05T00:00:00"/>
    <s v="11/11/2025, 11/22/2025"/>
    <d v="2025-11-22T00:00:00"/>
    <n v="2"/>
    <x v="1"/>
  </r>
  <r>
    <n v="29"/>
    <x v="9"/>
    <s v="Event"/>
    <s v="Rogers centre-Zippin lane"/>
    <d v="2025-11-22T00:00:00"/>
    <m/>
    <d v="2025-11-23T00:00:0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85E3A7-EA6A-4B9C-9BB7-56C8F6F15A00}" name="PivotTable1" cacheId="20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15" firstHeaderRow="1" firstDataRow="2" firstDataCol="1"/>
  <pivotFields count="9">
    <pivotField compact="0" outline="0" showAll="0"/>
    <pivotField axis="axisRow" compact="0" outline="0" showAll="0">
      <items count="11">
        <item x="0"/>
        <item x="1"/>
        <item x="2"/>
        <item x="3"/>
        <item x="4"/>
        <item x="5"/>
        <item x="6"/>
        <item x="7"/>
        <item x="8"/>
        <item x="9"/>
        <item t="default"/>
      </items>
    </pivotField>
    <pivotField compact="0" outline="0" showAll="0"/>
    <pivotField compact="0" outline="0" showAll="0"/>
    <pivotField compact="0" numFmtId="14" outline="0" showAll="0"/>
    <pivotField compact="0" outline="0" showAll="0"/>
    <pivotField compact="0" numFmtId="14" outline="0" showAll="0"/>
    <pivotField compact="0" outline="0" showAll="0"/>
    <pivotField axis="axisCol" dataField="1" compact="0" outline="0" showAll="0">
      <items count="3">
        <item x="1"/>
        <item x="0"/>
        <item t="default"/>
      </items>
    </pivotField>
  </pivotFields>
  <rowFields count="1">
    <field x="1"/>
  </rowFields>
  <rowItems count="11">
    <i>
      <x/>
    </i>
    <i>
      <x v="1"/>
    </i>
    <i>
      <x v="2"/>
    </i>
    <i>
      <x v="3"/>
    </i>
    <i>
      <x v="4"/>
    </i>
    <i>
      <x v="5"/>
    </i>
    <i>
      <x v="6"/>
    </i>
    <i>
      <x v="7"/>
    </i>
    <i>
      <x v="8"/>
    </i>
    <i>
      <x v="9"/>
    </i>
    <i t="grand">
      <x/>
    </i>
  </rowItems>
  <colFields count="1">
    <field x="8"/>
  </colFields>
  <colItems count="3">
    <i>
      <x/>
    </i>
    <i>
      <x v="1"/>
    </i>
    <i t="grand">
      <x/>
    </i>
  </colItems>
  <dataFields count="1">
    <dataField name="Count of Is it launched" fld="8"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ocs.google.com/presentation/d/1EGy9PspUiDXOKTk6kVvqVUy6EDbTnPVXfia1UXYep40/edit" TargetMode="External"/><Relationship Id="rId21" Type="http://schemas.openxmlformats.org/officeDocument/2006/relationships/hyperlink" Target="https://docs.google.com/presentation/d/1IEyc3pYb5oCaFIUI8LJ6azz8AiE7zUK_BpybgM1b_rA/edit" TargetMode="External"/><Relationship Id="rId42" Type="http://schemas.openxmlformats.org/officeDocument/2006/relationships/hyperlink" Target="https://docs.google.com/presentation/d/1meDzwcWS5kjXuiH2iqd5XZ_-8KnTegGuF3km7srd_Vk/edit" TargetMode="External"/><Relationship Id="rId47" Type="http://schemas.openxmlformats.org/officeDocument/2006/relationships/hyperlink" Target="https://docs.google.com/presentation/d/1meDzwcWS5kjXuiH2iqd5XZ_-8KnTegGuF3km7srd_Vk/edit" TargetMode="External"/><Relationship Id="rId63" Type="http://schemas.openxmlformats.org/officeDocument/2006/relationships/hyperlink" Target="https://docs.google.com/presentation/d/1meDzwcWS5kjXuiH2iqd5XZ_-8KnTegGuF3km7srd_Vk/edit" TargetMode="External"/><Relationship Id="rId68" Type="http://schemas.openxmlformats.org/officeDocument/2006/relationships/hyperlink" Target="file://\\10.10.0.14\MasterMinds\Vcognition\Exception%20Handling\Reports\CAD\ELP%20OUTPUTS" TargetMode="External"/><Relationship Id="rId84" Type="http://schemas.openxmlformats.org/officeDocument/2006/relationships/hyperlink" Target="file://\\10.10.0.14\MasterMinds\Vcognition\Exception%20Handling\Reports\CAD\ELP%20OUTPUTS" TargetMode="External"/><Relationship Id="rId89" Type="http://schemas.openxmlformats.org/officeDocument/2006/relationships/hyperlink" Target="https://docs.google.com/presentation/d/1AutgMYk7KxCSZX-HCdbRqJv63DgzwnffoOY8A1T9Sx0/edit?slide=id.g35aaaf8cd33_0_6" TargetMode="External"/><Relationship Id="rId112" Type="http://schemas.openxmlformats.org/officeDocument/2006/relationships/hyperlink" Target="https://mahendranw-my.sharepoint.com/:w:/r/personal/abuthahir_babu_mnw_co_in/_layouts/15/Doc.aspx?sourcedoc=%7B593622CE-26B1-4C80-823F-795CA2BDF7C1%7D&amp;file=Libre%20Cad%20Sop%20final.docx&amp;action=default&amp;mobileredirect=true&amp;DefaultItemOpen=1&amp;wdOrigin=EXCELONLINE.SHELL%2CAPPHOME-WEB.FILEBROWSER.RECENT&amp;wdPreviousSession=59364346-590b-4b8a-96d1-3db36760f450&amp;wdPreviousSessionSrc=AppHomeWeb&amp;ct=1749527433635" TargetMode="External"/><Relationship Id="rId16" Type="http://schemas.openxmlformats.org/officeDocument/2006/relationships/hyperlink" Target="file://\\10.10.0.14\MasterMinds\Vcognition\Exception%20Handling\Team\Support%20Team%20Folders\Current\Bothiraajan.9806\Architect8-LCAD" TargetMode="External"/><Relationship Id="rId107" Type="http://schemas.openxmlformats.org/officeDocument/2006/relationships/hyperlink" Target="https://docs.google.com/presentation/d/1q_J4W03pRtoOtI7z_MZd8Kn7bCcPPWwu1hJp-CRgN0Y/edit" TargetMode="External"/><Relationship Id="rId11" Type="http://schemas.openxmlformats.org/officeDocument/2006/relationships/hyperlink" Target="file://\\10.10.0.14\MasterMinds\Vcognition\Exception%20Handling\Team\Support%20Team%20Folders\CAD\ELP%20OUTPUTS" TargetMode="External"/><Relationship Id="rId32" Type="http://schemas.openxmlformats.org/officeDocument/2006/relationships/hyperlink" Target="file://\\10.10.0.14\MasterMinds\Vcognition\Exception%20Handling\Team\Support%20Team%20Folders\Current\Bothiraajan.9806" TargetMode="External"/><Relationship Id="rId37" Type="http://schemas.openxmlformats.org/officeDocument/2006/relationships/hyperlink" Target="https://docs.google.com/presentation/d/1meDzwcWS5kjXuiH2iqd5XZ_-8KnTegGuF3km7srd_Vk/edit" TargetMode="External"/><Relationship Id="rId53" Type="http://schemas.openxmlformats.org/officeDocument/2006/relationships/hyperlink" Target="https://forms.office.com/r/cunqjp0uZm" TargetMode="External"/><Relationship Id="rId58" Type="http://schemas.openxmlformats.org/officeDocument/2006/relationships/hyperlink" Target="file://\\10.10.0.14\MasterMinds\Vcognition\Exception%20Handling\Team\Support%20Team%20Folders\Current\Bothiraajan.9806" TargetMode="External"/><Relationship Id="rId74" Type="http://schemas.openxmlformats.org/officeDocument/2006/relationships/hyperlink" Target="https://docs.google.com/presentation/d/1YFN4AWzXSonadj5QSuuPF56VFncgsrImqqbw5fHHbGI/edit" TargetMode="External"/><Relationship Id="rId79" Type="http://schemas.openxmlformats.org/officeDocument/2006/relationships/hyperlink" Target="https://docs.google.com/presentation/d/103pzYY0D-Z7HKcJe5HDaYQ4xODXCmenpr38PVZapw54/edit" TargetMode="External"/><Relationship Id="rId102" Type="http://schemas.openxmlformats.org/officeDocument/2006/relationships/hyperlink" Target="file://\\10.10.0.14\MasterMinds\Vcognition\Exception%20Handling\Reports\CAD\ELP%20OUTPUTS" TargetMode="External"/><Relationship Id="rId5" Type="http://schemas.openxmlformats.org/officeDocument/2006/relationships/hyperlink" Target="file://\\10.10.0.14\MasterMinds\Vcognition\Exception%20Handling\Team\Support%20Team%20Folders\CAD\ELP%20OUTPUTS" TargetMode="External"/><Relationship Id="rId90" Type="http://schemas.openxmlformats.org/officeDocument/2006/relationships/hyperlink" Target="file://\\10.10.0.14\MasterMinds\Vcognition\Exception%20Handling\Reports\CAD\ELP%20OUTPUTS" TargetMode="External"/><Relationship Id="rId95" Type="http://schemas.openxmlformats.org/officeDocument/2006/relationships/hyperlink" Target="file://\\10.10.0.14\MasterMinds\Vcognition\Exception%20Handling\Reports\CAD\ELP%20OUTPUTS" TargetMode="External"/><Relationship Id="rId22" Type="http://schemas.openxmlformats.org/officeDocument/2006/relationships/hyperlink" Target="https://docs.google.com/presentation/d/16NFzS02rENcjZGT5K_QTX1IZ8n8UHMU5EXGAN8SjUJg/edit" TargetMode="External"/><Relationship Id="rId27" Type="http://schemas.openxmlformats.org/officeDocument/2006/relationships/hyperlink" Target="https://docs.google.com/presentation/d/1IEyc3pYb5oCaFIUI8LJ6azz8AiE7zUK_BpybgM1b_rA/edit" TargetMode="External"/><Relationship Id="rId43" Type="http://schemas.openxmlformats.org/officeDocument/2006/relationships/hyperlink" Target="file://\\10.10.0.14\MasterMinds\Vcognition\Exception%20Handling\Team\Support%20Team%20Folders\CAD\ELP%20OUTPUTS" TargetMode="External"/><Relationship Id="rId48" Type="http://schemas.openxmlformats.org/officeDocument/2006/relationships/hyperlink" Target="file://\\10.10.0.14\MasterMinds\Vcognition\Exception%20Handling\Team\Support%20Team%20Folders\Current\Bothiraajan.9806" TargetMode="External"/><Relationship Id="rId64" Type="http://schemas.openxmlformats.org/officeDocument/2006/relationships/hyperlink" Target="file://\\10.10.0.14\MasterMinds\Vcognition\Exception%20Handling\Reports\CAD\ELP%20OUTPUTS" TargetMode="External"/><Relationship Id="rId69" Type="http://schemas.openxmlformats.org/officeDocument/2006/relationships/hyperlink" Target="https://docs.google.com/presentation/d/1YFN4AWzXSonadj5QSuuPF56VFncgsrImqqbw5fHHbGI/edit" TargetMode="External"/><Relationship Id="rId113" Type="http://schemas.openxmlformats.org/officeDocument/2006/relationships/hyperlink" Target="file://\\10.10.0.14\MasterMinds\Vcognition\Exception%20Handling\Reports\CAD\SOP" TargetMode="External"/><Relationship Id="rId80" Type="http://schemas.openxmlformats.org/officeDocument/2006/relationships/hyperlink" Target="file://\\10.10.0.14\MasterMinds\Vcognition\Exception%20Handling\Reports\CAD\ELP%20OUTPUTS" TargetMode="External"/><Relationship Id="rId85" Type="http://schemas.openxmlformats.org/officeDocument/2006/relationships/hyperlink" Target="file://\\10.10.0.14\MasterMinds\Vcognition\Exception%20Handling\Reports\CAD\ELP%20OUTPUTS" TargetMode="External"/><Relationship Id="rId12" Type="http://schemas.openxmlformats.org/officeDocument/2006/relationships/hyperlink" Target="file://\\10.10.0.14\MasterMinds\Vcognition\Exception%20Handling\Team\Support%20Team%20Folders\CAD\ELP%20OUTPUTS" TargetMode="External"/><Relationship Id="rId17" Type="http://schemas.openxmlformats.org/officeDocument/2006/relationships/hyperlink" Target="https://docs.google.com/presentation/d/1TFbEgMMIZfmT_xcYYbh0Xm0mQtif8Y7bWEjStUgh6bo/edit" TargetMode="External"/><Relationship Id="rId33" Type="http://schemas.openxmlformats.org/officeDocument/2006/relationships/hyperlink" Target="file://\\10.10.0.14\MasterMinds\Vcognition\Exception%20Handling\Team\Support%20Team%20Folders\Current\Bothiraajan.9806" TargetMode="External"/><Relationship Id="rId38" Type="http://schemas.openxmlformats.org/officeDocument/2006/relationships/hyperlink" Target="file://\\10.10.0.14\MasterMinds\Vcognition\Exception%20Handling\Team\Support%20Team%20Folders\CAD\ELP%20OUTPUTS" TargetMode="External"/><Relationship Id="rId59" Type="http://schemas.openxmlformats.org/officeDocument/2006/relationships/hyperlink" Target="https://docs.google.com/presentation/d/19vzTURsI3zsjOHyazJoSi5cbtAqe0pq98W12H3fkoF8/edit" TargetMode="External"/><Relationship Id="rId103" Type="http://schemas.openxmlformats.org/officeDocument/2006/relationships/hyperlink" Target="https://docs.google.com/presentation/d/1TFbEgMMIZfmT_xcYYbh0Xm0mQtif8Y7bWEjStUgh6bo/edit" TargetMode="External"/><Relationship Id="rId108" Type="http://schemas.openxmlformats.org/officeDocument/2006/relationships/hyperlink" Target="https://mahendranw-my.sharepoint.com/:w:/r/personal/abuthahir_babu_mnw_co_in/_layouts/15/Doc.aspx?sourcedoc=%7B593622CE-26B1-4C80-823F-795CA2BDF7C1%7D&amp;file=Libre%20Cad%20Sop%20final.docx&amp;action=default&amp;mobileredirect=true&amp;DefaultItemOpen=1&amp;wdOrigin=EXCELONLINE.SHELL%2CAPPHOME-WEB.FILEBROWSER.RECENT&amp;wdPreviousSession=59364346-590b-4b8a-96d1-3db36760f450&amp;wdPreviousSessionSrc=AppHomeWeb&amp;ct=1749527433635" TargetMode="External"/><Relationship Id="rId54" Type="http://schemas.openxmlformats.org/officeDocument/2006/relationships/hyperlink" Target="https://docs.google.com/presentation/d/14xK2WtPKZ2SflCnyVtJRi6v34wlKXV0dI-Iz-G0gMBE/edit" TargetMode="External"/><Relationship Id="rId70" Type="http://schemas.openxmlformats.org/officeDocument/2006/relationships/hyperlink" Target="file://\\10.10.0.14\MasterMinds\Vcognition\Exception%20Handling\Reports\CAD\ELP%20OUTPUTS" TargetMode="External"/><Relationship Id="rId75" Type="http://schemas.openxmlformats.org/officeDocument/2006/relationships/hyperlink" Target="https://docs.google.com/presentation/d/1YFN4AWzXSonadj5QSuuPF56VFncgsrImqqbw5fHHbGI/edit" TargetMode="External"/><Relationship Id="rId91" Type="http://schemas.openxmlformats.org/officeDocument/2006/relationships/hyperlink" Target="https://docs.google.com/presentation/d/1AutgMYk7KxCSZX-HCdbRqJv63DgzwnffoOY8A1T9Sx0/edit?slide=id.g35aaaf8cd33_0_6" TargetMode="External"/><Relationship Id="rId96" Type="http://schemas.openxmlformats.org/officeDocument/2006/relationships/hyperlink" Target="file://\\10.10.0.14\MasterMinds\Vcognition\Exception%20Handling\Reports\CAD\ELP%20OUTPUTS" TargetMode="External"/><Relationship Id="rId1" Type="http://schemas.openxmlformats.org/officeDocument/2006/relationships/hyperlink" Target="file://\\10.10.0.14\MasterMinds\Vcognition\Exception%20Handling\Reports\CAD\ELP%20OUTPUTS" TargetMode="External"/><Relationship Id="rId6" Type="http://schemas.openxmlformats.org/officeDocument/2006/relationships/hyperlink" Target="file://\\10.10.0.14\MasterMinds\Vcognition\Exception%20Handling\Team\Support%20Team%20Folders\CAD\ELP%20OUTPUTS" TargetMode="External"/><Relationship Id="rId15" Type="http://schemas.openxmlformats.org/officeDocument/2006/relationships/hyperlink" Target="file://\\10.10.0.14\MasterMinds\Vcognition\Exception%20Handling\Team\Support%20Team%20Folders\CAD\ELP%20OUTPUTS" TargetMode="External"/><Relationship Id="rId23" Type="http://schemas.openxmlformats.org/officeDocument/2006/relationships/hyperlink" Target="https://docs.google.com/presentation/d/1IEyc3pYb5oCaFIUI8LJ6azz8AiE7zUK_BpybgM1b_rA/edit" TargetMode="External"/><Relationship Id="rId28" Type="http://schemas.openxmlformats.org/officeDocument/2006/relationships/hyperlink" Target="file://\\10.10.0.14\MasterMinds\Vcognition\Exception%20Handling\Reports\CAD\ELP%20OUTPUTS" TargetMode="External"/><Relationship Id="rId36" Type="http://schemas.openxmlformats.org/officeDocument/2006/relationships/hyperlink" Target="https://docs.google.com/presentation/d/1TFbEgMMIZfmT_xcYYbh0Xm0mQtif8Y7bWEjStUgh6bo/edit" TargetMode="External"/><Relationship Id="rId49" Type="http://schemas.openxmlformats.org/officeDocument/2006/relationships/hyperlink" Target="https://docs.google.com/presentation/d/14xK2WtPKZ2SflCnyVtJRi6v34wlKXV0dI-Iz-G0gMBE/edit" TargetMode="External"/><Relationship Id="rId57" Type="http://schemas.openxmlformats.org/officeDocument/2006/relationships/hyperlink" Target="file://\\10.10.0.14\MasterMinds\Vcognition\Exception%20Handling\Team\Support%20Team%20Folders\Current\Bothiraajan.9806" TargetMode="External"/><Relationship Id="rId106" Type="http://schemas.openxmlformats.org/officeDocument/2006/relationships/hyperlink" Target="https://docs.google.com/presentation/d/1TFbEgMMIZfmT_xcYYbh0Xm0mQtif8Y7bWEjStUgh6bo/edit" TargetMode="External"/><Relationship Id="rId10" Type="http://schemas.openxmlformats.org/officeDocument/2006/relationships/hyperlink" Target="file://\\10.10.0.14\MasterMinds\Vcognition\Exception%20Handling\Team\Support%20Team%20Folders\CAD\ELP%20OUTPUTS" TargetMode="External"/><Relationship Id="rId31" Type="http://schemas.openxmlformats.org/officeDocument/2006/relationships/hyperlink" Target="https://docs.google.com/presentation/d/1q_J4W03pRtoOtI7z_MZd8Kn7bCcPPWwu1hJp-CRgN0Y/edit" TargetMode="External"/><Relationship Id="rId44" Type="http://schemas.openxmlformats.org/officeDocument/2006/relationships/hyperlink" Target="file://\\10.10.0.14\MasterMinds\Vcognition\Exception%20Handling\Team\Support%20Team%20Folders\CAD\ELP%20OUTPUTS" TargetMode="External"/><Relationship Id="rId52" Type="http://schemas.openxmlformats.org/officeDocument/2006/relationships/hyperlink" Target="https://docs.google.com/presentation/d/14xK2WtPKZ2SflCnyVtJRi6v34wlKXV0dI-Iz-G0gMBE/edit" TargetMode="External"/><Relationship Id="rId60" Type="http://schemas.openxmlformats.org/officeDocument/2006/relationships/hyperlink" Target="file://\\10.10.0.14\MasterMinds\Vcognition\Exception%20Handling\Team\Support%20Team%20Folders\Current\Bothiraajan.9806" TargetMode="External"/><Relationship Id="rId65" Type="http://schemas.openxmlformats.org/officeDocument/2006/relationships/hyperlink" Target="https://docs.google.com/presentation/d/1g6dPmn50xI61ZwAJg8djACN3pT6I2NfgUmNvQlJIh74/edit" TargetMode="External"/><Relationship Id="rId73" Type="http://schemas.openxmlformats.org/officeDocument/2006/relationships/hyperlink" Target="file://\\10.10.0.14\MasterMinds\Vcognition\Exception%20Handling\Reports\CAD\ELP%20OUTPUTS" TargetMode="External"/><Relationship Id="rId78" Type="http://schemas.openxmlformats.org/officeDocument/2006/relationships/hyperlink" Target="https://docs.google.com/presentation/d/1uQVHOaFGD0J3LKYjmISSkO7hvsTLm9dIukdkDXhNU4Q/edit" TargetMode="External"/><Relationship Id="rId81" Type="http://schemas.openxmlformats.org/officeDocument/2006/relationships/hyperlink" Target="https://docs.google.com/presentation/d/1Zxtxx0MQ-LwfVpsAfg7dviRRnuT54SJbTH9bYIX1mHk/edit" TargetMode="External"/><Relationship Id="rId86" Type="http://schemas.openxmlformats.org/officeDocument/2006/relationships/hyperlink" Target="https://docs.google.com/presentation/d/1AutgMYk7KxCSZX-HCdbRqJv63DgzwnffoOY8A1T9Sx0/edit?slide=id.g35859493e8e_0_0" TargetMode="External"/><Relationship Id="rId94" Type="http://schemas.openxmlformats.org/officeDocument/2006/relationships/hyperlink" Target="https://docs.google.com/presentation/d/1th12Mzai4Rll_MvYPfqY3d1g3AQr4RrPUw6KmgcVmJI/edit?slide=id.g35b621f7089_2_6" TargetMode="External"/><Relationship Id="rId99" Type="http://schemas.openxmlformats.org/officeDocument/2006/relationships/hyperlink" Target="https://docs.google.com/presentation/d/1sP6K21pPQEbSI0ih-zwcv1q3TeHJCQ-pz7sTKd5wo1U/edit?slide=id.g35d146bb1fb_0_36" TargetMode="External"/><Relationship Id="rId101" Type="http://schemas.openxmlformats.org/officeDocument/2006/relationships/hyperlink" Target="https://docs.google.com/presentation/d/1q_mHzqLPQQHAAulpF847n7owPpB1eZLscD1-7MNjuWI/edit?slide=id.g335e185a9c4_1_12" TargetMode="External"/><Relationship Id="rId4" Type="http://schemas.openxmlformats.org/officeDocument/2006/relationships/hyperlink" Target="file://\\10.10.0.14\MasterMinds\Vcognition\Exception%20Handling\Team\Support%20Team%20Folders\CAD\Sample%20ELP%20Outputs" TargetMode="External"/><Relationship Id="rId9" Type="http://schemas.openxmlformats.org/officeDocument/2006/relationships/hyperlink" Target="file://\\10.10.0.14\MasterMinds\Vcognition\Exception%20Handling\Team\Support%20Team%20Folders\CAD\ELP%20OUTPUTS" TargetMode="External"/><Relationship Id="rId13" Type="http://schemas.openxmlformats.org/officeDocument/2006/relationships/hyperlink" Target="file://\\10.10.0.14\MasterMinds\Vcognition\Exception%20Handling\Team\Support%20Team%20Folders\CAD\ELP%20OUTPUTS" TargetMode="External"/><Relationship Id="rId18" Type="http://schemas.openxmlformats.org/officeDocument/2006/relationships/hyperlink" Target="https://docs.google.com/presentation/d/1q_J4W03pRtoOtI7z_MZd8Kn7bCcPPWwu1hJp-CRgN0Y/edit" TargetMode="External"/><Relationship Id="rId39" Type="http://schemas.openxmlformats.org/officeDocument/2006/relationships/hyperlink" Target="https://docs.google.com/presentation/d/1EGy9PspUiDXOKTk6kVvqVUy6EDbTnPVXfia1UXYep40/edit" TargetMode="External"/><Relationship Id="rId109" Type="http://schemas.openxmlformats.org/officeDocument/2006/relationships/hyperlink" Target="https://mahendranw-my.sharepoint.com/:w:/r/personal/abuthahir_babu_mnw_co_in/_layouts/15/Doc.aspx?sourcedoc=%7B593622CE-26B1-4C80-823F-795CA2BDF7C1%7D&amp;file=Libre%20Cad%20Sop%20final.docx&amp;action=default&amp;mobileredirect=true&amp;DefaultItemOpen=1&amp;wdOrigin=EXCELONLINE.SHELL%2CAPPHOME-WEB.FILEBROWSER.RECENT&amp;wdPreviousSession=59364346-590b-4b8a-96d1-3db36760f450&amp;wdPreviousSessionSrc=AppHomeWeb&amp;ct=1749527433635" TargetMode="External"/><Relationship Id="rId34" Type="http://schemas.openxmlformats.org/officeDocument/2006/relationships/hyperlink" Target="file://\\10.10.0.14\MasterMinds\Vcognition\Exception%20Handling\Team\Support%20Team%20Folders\Current\Bothiraajan.9806" TargetMode="External"/><Relationship Id="rId50" Type="http://schemas.openxmlformats.org/officeDocument/2006/relationships/hyperlink" Target="file://\\10.10.0.14\MasterMinds\Vcognition\Exception%20Handling\Team\Support%20Team%20Folders\Current\Bothiraajan.9806" TargetMode="External"/><Relationship Id="rId55" Type="http://schemas.openxmlformats.org/officeDocument/2006/relationships/hyperlink" Target="https://docs.google.com/presentation/d/14xK2WtPKZ2SflCnyVtJRi6v34wlKXV0dI-Iz-G0gMBE/edit" TargetMode="External"/><Relationship Id="rId76" Type="http://schemas.openxmlformats.org/officeDocument/2006/relationships/hyperlink" Target="file://\\10.10.0.14\MasterMinds\Vcognition\Exception%20Handling\Reports\CAD\ELP%20OUTPUTS" TargetMode="External"/><Relationship Id="rId97" Type="http://schemas.openxmlformats.org/officeDocument/2006/relationships/hyperlink" Target="https://docs.google.com/presentation/d/1GT_JBa0r-7HNyTac_yi33dWbMJLX8-GgbdVrl8LD2Ek/edit?slide=id.g35bae327e05_3_0" TargetMode="External"/><Relationship Id="rId104" Type="http://schemas.openxmlformats.org/officeDocument/2006/relationships/hyperlink" Target="https://docs.google.com/presentation/d/1TFbEgMMIZfmT_xcYYbh0Xm0mQtif8Y7bWEjStUgh6bo/edit" TargetMode="External"/><Relationship Id="rId7" Type="http://schemas.openxmlformats.org/officeDocument/2006/relationships/hyperlink" Target="file://\\10.10.0.14\MasterMinds\Vcognition\Exception%20Handling\Team\Support%20Team%20Folders\CAD\ELP%20OUTPUTS" TargetMode="External"/><Relationship Id="rId71" Type="http://schemas.openxmlformats.org/officeDocument/2006/relationships/hyperlink" Target="https://docs.google.com/presentation/d/1tYxfbROl5lG8KA3g4D9qUaeR59tt4a7gdl0ZToLsraE/edit" TargetMode="External"/><Relationship Id="rId92" Type="http://schemas.openxmlformats.org/officeDocument/2006/relationships/hyperlink" Target="file://\\10.10.0.14\MasterMinds\Vcognition\Exception%20Handling\Reports\CAD\ELP%20OUTPUTS" TargetMode="External"/><Relationship Id="rId2" Type="http://schemas.openxmlformats.org/officeDocument/2006/relationships/hyperlink" Target="file://\\10.10.0.14\MasterMinds\Vcognition\Exception%20Handling\Team\Support%20Team%20Folders\CAD\Sample%20ELP%20Outputs" TargetMode="External"/><Relationship Id="rId29" Type="http://schemas.openxmlformats.org/officeDocument/2006/relationships/hyperlink" Target="https://docs.google.com/presentation/d/1RvCO2TVF-ovj_Lmg5FcSaSKzqPVtzY-MTtpN9q_XBBo/edit" TargetMode="External"/><Relationship Id="rId24" Type="http://schemas.openxmlformats.org/officeDocument/2006/relationships/hyperlink" Target="https://docs.google.com/presentation/d/1EGy9PspUiDXOKTk6kVvqVUy6EDbTnPVXfia1UXYep40/edit" TargetMode="External"/><Relationship Id="rId40" Type="http://schemas.openxmlformats.org/officeDocument/2006/relationships/hyperlink" Target="https://docs.google.com/presentation/d/1meDzwcWS5kjXuiH2iqd5XZ_-8KnTegGuF3km7srd_Vk/edit" TargetMode="External"/><Relationship Id="rId45" Type="http://schemas.openxmlformats.org/officeDocument/2006/relationships/hyperlink" Target="https://docs.google.com/presentation/d/1RvCO2TVF-ovj_Lmg5FcSaSKzqPVtzY-MTtpN9q_XBBo/edit" TargetMode="External"/><Relationship Id="rId66" Type="http://schemas.openxmlformats.org/officeDocument/2006/relationships/hyperlink" Target="file://\\10.10.0.14\MasterMinds\Vcognition\Exception%20Handling\Reports\CAD\ELP%20OUTPUTS" TargetMode="External"/><Relationship Id="rId87" Type="http://schemas.openxmlformats.org/officeDocument/2006/relationships/hyperlink" Target="https://docs.google.com/presentation/d/1th12Mzai4Rll_MvYPfqY3d1g3AQr4RrPUw6KmgcVmJI/edit?slide=id.g35981e3d494_0_6" TargetMode="External"/><Relationship Id="rId110" Type="http://schemas.openxmlformats.org/officeDocument/2006/relationships/hyperlink" Target="https://mahendranw-my.sharepoint.com/:w:/r/personal/abuthahir_babu_mnw_co_in/_layouts/15/Doc.aspx?sourcedoc=%7B593622CE-26B1-4C80-823F-795CA2BDF7C1%7D&amp;file=Libre%20Cad%20Sop%20final.docx&amp;action=default&amp;mobileredirect=true&amp;DefaultItemOpen=1&amp;wdOrigin=EXCELONLINE.SHELL%2CAPPHOME-WEB.FILEBROWSER.RECENT&amp;wdPreviousSession=59364346-590b-4b8a-96d1-3db36760f450&amp;wdPreviousSessionSrc=AppHomeWeb&amp;ct=1749527433635" TargetMode="External"/><Relationship Id="rId61" Type="http://schemas.openxmlformats.org/officeDocument/2006/relationships/hyperlink" Target="https://docs.google.com/presentation/d/19vzTURsI3zsjOHyazJoSi5cbtAqe0pq98W12H3fkoF8/edit" TargetMode="External"/><Relationship Id="rId82" Type="http://schemas.openxmlformats.org/officeDocument/2006/relationships/hyperlink" Target="file://\\10.10.0.14\MasterMinds\Vcognition\Exception%20Handling\Reports\CAD\ELP%20OUTPUTS" TargetMode="External"/><Relationship Id="rId19" Type="http://schemas.openxmlformats.org/officeDocument/2006/relationships/hyperlink" Target="https://docs.google.com/document/d/1hv5I4w-aqr9nNrOgwN9kjNSCSV38ej8vejs1vb-18zM/edit?tab=t.0" TargetMode="External"/><Relationship Id="rId14" Type="http://schemas.openxmlformats.org/officeDocument/2006/relationships/hyperlink" Target="file://\\10.10.0.14\MasterMinds\Vcognition\Exception%20Handling\Team\Support%20Team%20Folders\CAD\ELP%20OUTPUTS" TargetMode="External"/><Relationship Id="rId30" Type="http://schemas.openxmlformats.org/officeDocument/2006/relationships/hyperlink" Target="https://docs.google.com/presentation/d/1IEyc3pYb5oCaFIUI8LJ6azz8AiE7zUK_BpybgM1b_rA/edit" TargetMode="External"/><Relationship Id="rId35" Type="http://schemas.openxmlformats.org/officeDocument/2006/relationships/hyperlink" Target="file://\\10.10.0.14\MasterMinds\Vcognition\Exception%20Handling\Team\Support%20Team%20Folders\Current\Bothiraajan.9806" TargetMode="External"/><Relationship Id="rId56" Type="http://schemas.openxmlformats.org/officeDocument/2006/relationships/hyperlink" Target="file://\\10.10.0.14\MasterMinds\Vcognition\Exception%20Handling\Team\Support%20Team%20Folders\Current\Bothiraajan.9806" TargetMode="External"/><Relationship Id="rId77" Type="http://schemas.openxmlformats.org/officeDocument/2006/relationships/hyperlink" Target="https://docs.google.com/presentation/d/103pzYY0D-Z7HKcJe5HDaYQ4xODXCmenpr38PVZapw54/edit" TargetMode="External"/><Relationship Id="rId100" Type="http://schemas.openxmlformats.org/officeDocument/2006/relationships/hyperlink" Target="file://\\10.10.0.14\MasterMinds\Vcognition\Exception%20Handling\Reports\CAD\ELP%20OUTPUTS" TargetMode="External"/><Relationship Id="rId105" Type="http://schemas.openxmlformats.org/officeDocument/2006/relationships/hyperlink" Target="https://mahendranw-my.sharepoint.com/:w:/r/personal/abuthahir_babu_mnw_co_in/_layouts/15/Doc.aspx?sourcedoc=%7B593622CE-26B1-4C80-823F-795CA2BDF7C1%7D&amp;file=Libre%20Cad%20Sop%20final.docx&amp;action=default&amp;mobileredirect=true&amp;DefaultItemOpen=1&amp;wdOrigin=EXCELONLINE.SHELL%2CAPPHOME-WEB.FILEBROWSER.RECENT&amp;wdPreviousSession=59364346-590b-4b8a-96d1-3db36760f450&amp;wdPreviousSessionSrc=AppHomeWeb&amp;ct=1749527433635" TargetMode="External"/><Relationship Id="rId8" Type="http://schemas.openxmlformats.org/officeDocument/2006/relationships/hyperlink" Target="file://\\10.10.0.14\MasterMinds\Vcognition\Exception%20Handling\Team\Support%20Team%20Folders\CAD\ELP%20OUTPUTS" TargetMode="External"/><Relationship Id="rId51" Type="http://schemas.openxmlformats.org/officeDocument/2006/relationships/hyperlink" Target="file://\\10.10.0.14\MasterMinds\Vcognition\Exception%20Handling\Team\Support%20Team%20Folders\Current\Bothiraajan.9806" TargetMode="External"/><Relationship Id="rId72" Type="http://schemas.openxmlformats.org/officeDocument/2006/relationships/hyperlink" Target="https://docs.google.com/presentation/d/103pzYY0D-Z7HKcJe5HDaYQ4xODXCmenpr38PVZapw54/edit" TargetMode="External"/><Relationship Id="rId93" Type="http://schemas.openxmlformats.org/officeDocument/2006/relationships/hyperlink" Target="https://docs.google.com/presentation/d/1q_J4W03pRtoOtI7z_MZd8Kn7bCcPPWwu1hJp-CRgN0Y/edit" TargetMode="External"/><Relationship Id="rId98" Type="http://schemas.openxmlformats.org/officeDocument/2006/relationships/hyperlink" Target="https://docs.google.com/presentation/d/1Zxtxx0MQ-LwfVpsAfg7dviRRnuT54SJbTH9bYIX1mHk/edit?slide=id.g304e356dc81_0_19" TargetMode="External"/><Relationship Id="rId3" Type="http://schemas.openxmlformats.org/officeDocument/2006/relationships/hyperlink" Target="file://\\10.10.0.14\MasterMinds\Vcognition\Exception%20Handling\Team\Support%20Team%20Folders\CAD\Sample%20ELP%20Outputs" TargetMode="External"/><Relationship Id="rId25" Type="http://schemas.openxmlformats.org/officeDocument/2006/relationships/hyperlink" Target="https://docs.google.com/presentation/d/1IEyc3pYb5oCaFIUI8LJ6azz8AiE7zUK_BpybgM1b_rA/edit" TargetMode="External"/><Relationship Id="rId46" Type="http://schemas.openxmlformats.org/officeDocument/2006/relationships/hyperlink" Target="https://docs.google.com/presentation/d/1RvCO2TVF-ovj_Lmg5FcSaSKzqPVtzY-MTtpN9q_XBBo/edit" TargetMode="External"/><Relationship Id="rId67" Type="http://schemas.openxmlformats.org/officeDocument/2006/relationships/hyperlink" Target="https://docs.google.com/presentation/d/1meDzwcWS5kjXuiH2iqd5XZ_-8KnTegGuF3km7srd_Vk/edit" TargetMode="External"/><Relationship Id="rId20" Type="http://schemas.openxmlformats.org/officeDocument/2006/relationships/hyperlink" Target="https://docs.google.com/document/d/1hv5I4w-aqr9nNrOgwN9kjNSCSV38ej8vejs1vb-18zM/edit?tab=t.0" TargetMode="External"/><Relationship Id="rId41" Type="http://schemas.openxmlformats.org/officeDocument/2006/relationships/hyperlink" Target="file://\\10.10.0.14\MasterMinds\Vcognition\Exception%20Handling\Team\Support%20Team%20Folders\Current\Bothiraajan.9806" TargetMode="External"/><Relationship Id="rId62" Type="http://schemas.openxmlformats.org/officeDocument/2006/relationships/hyperlink" Target="file://\\10.10.0.14\MasterMinds\Vcognition\Exception%20Handling\Reports\CAD\ELP%20OUTPUTS" TargetMode="External"/><Relationship Id="rId83" Type="http://schemas.openxmlformats.org/officeDocument/2006/relationships/hyperlink" Target="https://docs.google.com/presentation/d/1AutgMYk7KxCSZX-HCdbRqJv63DgzwnffoOY8A1T9Sx0/edit?slide=id.g35859493e8e_0_0" TargetMode="External"/><Relationship Id="rId88" Type="http://schemas.openxmlformats.org/officeDocument/2006/relationships/hyperlink" Target="file://\\10.10.0.14\MasterMinds\Vcognition\Exception%20Handling\Reports\CAD\ELP%20OUTPUTS" TargetMode="External"/><Relationship Id="rId111" Type="http://schemas.openxmlformats.org/officeDocument/2006/relationships/hyperlink" Target="https://mahendranw-my.sharepoint.com/:w:/r/personal/abuthahir_babu_mnw_co_in/_layouts/15/Doc.aspx?sourcedoc=%7B593622CE-26B1-4C80-823F-795CA2BDF7C1%7D&amp;file=Libre%20Cad%20Sop%20final.docx&amp;action=default&amp;mobileredirect=true&amp;DefaultItemOpen=1&amp;wdOrigin=EXCELONLINE.SHELL%2CAPPHOME-WEB.FILEBROWSER.RECENT&amp;wdPreviousSession=59364346-590b-4b8a-96d1-3db36760f450&amp;wdPreviousSessionSrc=AppHomeWeb&amp;ct=1749527433635"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ocs.google.com/presentation/d/1RvCO2TVF-ovj_Lmg5FcSaSKzqPVtzY-MTtpN9q_XBBo/edit?slide=id.p" TargetMode="External"/><Relationship Id="rId18" Type="http://schemas.openxmlformats.org/officeDocument/2006/relationships/hyperlink" Target="https://docs.google.com/presentation/d/19vzTURsI3zsjOHyazJoSi5cbtAqe0pq98W12H3fkoF8/edit?slide=id.g34edfff4cef_0_10" TargetMode="External"/><Relationship Id="rId26" Type="http://schemas.openxmlformats.org/officeDocument/2006/relationships/hyperlink" Target="https://docs.google.com/presentation/d/1IGiy30gnfSYAOwixpqYriw-1nZwW7PVFpHsZOl15Xqk/edit?slide=id.g373e21e48dc_0_0" TargetMode="External"/><Relationship Id="rId21" Type="http://schemas.openxmlformats.org/officeDocument/2006/relationships/hyperlink" Target="https://docs.google.com/presentation/d/1th12Mzai4Rll_MvYPfqY3d1g3AQr4RrPUw6KmgcVmJI/edit?slide=id.p" TargetMode="External"/><Relationship Id="rId34" Type="http://schemas.openxmlformats.org/officeDocument/2006/relationships/hyperlink" Target="https://docs.google.com/presentation/d/1CRsCTx_U68rD_06LO5GcZYUouAm_EfcLIwO_8XTXS68/edit?slide=id.g3a0722e8fad_0_6" TargetMode="External"/><Relationship Id="rId7" Type="http://schemas.openxmlformats.org/officeDocument/2006/relationships/hyperlink" Target="https://docs.google.com/presentation/d/150yaMQfB-p1WG7XSMtykQ86fOJ5zS2elcUv52pD-aI4/edit?slide=id.p" TargetMode="External"/><Relationship Id="rId12" Type="http://schemas.openxmlformats.org/officeDocument/2006/relationships/hyperlink" Target="https://docs.google.com/presentation/d/1EGy9PspUiDXOKTk6kVvqVUy6EDbTnPVXfia1UXYep40/edit?slide=id.p" TargetMode="External"/><Relationship Id="rId17" Type="http://schemas.openxmlformats.org/officeDocument/2006/relationships/hyperlink" Target="https://docs.google.com/presentation/d/19vzTURsI3zsjOHyazJoSi5cbtAqe0pq98W12H3fkoF8/edit?slide=id.g34edfff4cef_0_10" TargetMode="External"/><Relationship Id="rId25" Type="http://schemas.openxmlformats.org/officeDocument/2006/relationships/hyperlink" Target="https://docs.google.com/presentation/d/1WzD9FuRkxuwtYM9iYdlTAClL_Wv1rENAbVs8mlGVjVw/edit?slide=id.g3721408f654_0_5" TargetMode="External"/><Relationship Id="rId33" Type="http://schemas.openxmlformats.org/officeDocument/2006/relationships/hyperlink" Target="https://docs.google.com/presentation/d/1zpqzPITT_k0vkFeK1YtJ1AfE2fi2-eYlPjBRuiBIirc/edit?slide=id.p" TargetMode="External"/><Relationship Id="rId2" Type="http://schemas.openxmlformats.org/officeDocument/2006/relationships/hyperlink" Target="https://docs.google.com/presentation/d/1b1sKDTrjLKAsG9lFOd3v8OnXWqaaWPMoX5sUIPV8MsM/edit?slide=id.g388a6696662_0_1" TargetMode="External"/><Relationship Id="rId16" Type="http://schemas.openxmlformats.org/officeDocument/2006/relationships/hyperlink" Target="https://docs.google.com/presentation/d/14xK2WtPKZ2SflCnyVtJRi6v34wlKXV0dI-Iz-G0gMBE/edit?slide=id.p" TargetMode="External"/><Relationship Id="rId20" Type="http://schemas.openxmlformats.org/officeDocument/2006/relationships/hyperlink" Target="https://docs.google.com/presentation/d/1tYxfbROl5lG8KA3g4D9qUaeR59tt4a7gdl0ZToLsraE/edit?slide=id.p" TargetMode="External"/><Relationship Id="rId29" Type="http://schemas.openxmlformats.org/officeDocument/2006/relationships/hyperlink" Target="https://docs.google.com/presentation/d/1aC8cSxQ1rwjYPRrOVqI6Fe4pCfY3S58Rsblif0ocS5o/edit?slide=id.p" TargetMode="External"/><Relationship Id="rId1" Type="http://schemas.openxmlformats.org/officeDocument/2006/relationships/hyperlink" Target="https://docs.google.com/presentation/d/1ptpw5Jcug9jV7-84oBwqag1g1UlcH1_IO_ZaZkX2BNk/edit?slide=id.p" TargetMode="External"/><Relationship Id="rId6" Type="http://schemas.openxmlformats.org/officeDocument/2006/relationships/hyperlink" Target="https://docs.google.com/presentation/d/1KENLekA9VK7xaxaPBDP1HylItttQT354y1P7HyDgK4M/edit?slide=id.p" TargetMode="External"/><Relationship Id="rId11" Type="http://schemas.openxmlformats.org/officeDocument/2006/relationships/hyperlink" Target="https://docs.google.com/presentation/d/1EGy9PspUiDXOKTk6kVvqVUy6EDbTnPVXfia1UXYep40/edit?slide=id.p" TargetMode="External"/><Relationship Id="rId24" Type="http://schemas.openxmlformats.org/officeDocument/2006/relationships/hyperlink" Target="https://docs.google.com/presentation/d/1mdLwkibwltw28IgQ1fRIZutMXrAUOHY1hZZkm9g1XYA/edit?slide=id.p" TargetMode="External"/><Relationship Id="rId32" Type="http://schemas.openxmlformats.org/officeDocument/2006/relationships/hyperlink" Target="https://docs.google.com/presentation/d/1Hlf7-mAN4mZW2GZh9kNtpjOpUHAg3rRyIsM8ZxIxPOQ/edit?slide=id.p" TargetMode="External"/><Relationship Id="rId37" Type="http://schemas.openxmlformats.org/officeDocument/2006/relationships/hyperlink" Target="https://docs.google.com/presentation/d/1cvz6P9fsKZ-mUZiL_4LkIv0kriR7Va8y/edit?slide=id.p1" TargetMode="External"/><Relationship Id="rId5" Type="http://schemas.openxmlformats.org/officeDocument/2006/relationships/hyperlink" Target="https://docs.google.com/presentation/d/1IEyc3pYb5oCaFIUI8LJ6azz8AiE7zUK_BpybgM1b_rA/edit?slide=id.p" TargetMode="External"/><Relationship Id="rId15" Type="http://schemas.openxmlformats.org/officeDocument/2006/relationships/hyperlink" Target="https://docs.google.com/presentation/d/14xK2WtPKZ2SflCnyVtJRi6v34wlKXV0dI-Iz-G0gMBE/edit?slide=id.p" TargetMode="External"/><Relationship Id="rId23" Type="http://schemas.openxmlformats.org/officeDocument/2006/relationships/hyperlink" Target="https://docs.google.com/presentation/d/1mB9eIQGxdGlZzVsoFrbW57T8mX94mk2ji6FZuJ2uYjg/edit?slide=id.p" TargetMode="External"/><Relationship Id="rId28" Type="http://schemas.openxmlformats.org/officeDocument/2006/relationships/hyperlink" Target="https://docs.google.com/presentation/d/1fPwsSRa5joCuN9eKDeBz5jOg8IoA8sfPmW5Yb8LTcMc/edit?slide=id.p" TargetMode="External"/><Relationship Id="rId36" Type="http://schemas.openxmlformats.org/officeDocument/2006/relationships/hyperlink" Target="https://docs.google.com/presentation/d/1Ly_utGpjOhRHMATbXMx31BJH5_rSsE9R/edit?slide=id.p1" TargetMode="External"/><Relationship Id="rId10" Type="http://schemas.openxmlformats.org/officeDocument/2006/relationships/hyperlink" Target="https://docs.google.com/presentation/d/1Y3ov9yEQrrMOiRwMTs9nGFoJ8O-vQwE7bl-DKOGfDrQ/edit?slide=id.p" TargetMode="External"/><Relationship Id="rId19" Type="http://schemas.openxmlformats.org/officeDocument/2006/relationships/hyperlink" Target="https://docs.google.com/presentation/d/1YFN4AWzXSonadj5QSuuPF56VFncgsrImqqbw5fHHbGI/edit?slide=id.g354bf69e967_0_1" TargetMode="External"/><Relationship Id="rId31" Type="http://schemas.openxmlformats.org/officeDocument/2006/relationships/hyperlink" Target="https://docs.google.com/presentation/d/1_oMpjbktz4_3TWD2bqqU7FFLw3n-IljtxeRwgXPwT3E/edit?slide=id.p" TargetMode="External"/><Relationship Id="rId4" Type="http://schemas.openxmlformats.org/officeDocument/2006/relationships/hyperlink" Target="https://docs.google.com/presentation/d/1dl5xXZD64x-y58Gn6Kfk84jO_UC0MK2A4nG7h_XWb7k/edit?slide=id.p" TargetMode="External"/><Relationship Id="rId9" Type="http://schemas.openxmlformats.org/officeDocument/2006/relationships/hyperlink" Target="https://docs.google.com/presentation/d/1xC6QOligLxKJg1NiqOt63y6rgXPl5Nm6-cRdra0RAbk/edit?slide=id.p" TargetMode="External"/><Relationship Id="rId14" Type="http://schemas.openxmlformats.org/officeDocument/2006/relationships/hyperlink" Target="https://docs.google.com/presentation/d/1meDzwcWS5kjXuiH2iqd5XZ_-8KnTegGuF3km7srd_Vk/edit?slide=id.p" TargetMode="External"/><Relationship Id="rId22" Type="http://schemas.openxmlformats.org/officeDocument/2006/relationships/hyperlink" Target="https://docs.google.com/presentation/d/1th12Mzai4Rll_MvYPfqY3d1g3AQr4RrPUw6KmgcVmJI/edit?slide=id.p" TargetMode="External"/><Relationship Id="rId27" Type="http://schemas.openxmlformats.org/officeDocument/2006/relationships/hyperlink" Target="https://docs.google.com/presentation/d/1Sq-4zeMRrPqkRlVSPJeWUtWmslbkXhxHUbDlSUeQfpo/edit?slide=id.p" TargetMode="External"/><Relationship Id="rId30" Type="http://schemas.openxmlformats.org/officeDocument/2006/relationships/hyperlink" Target="https://docs.google.com/presentation/d/14Jf_MnahDp-gaKlXTNC9g31dH6vhUgqYiqrAG3th1jA/edit?slide=id.p" TargetMode="External"/><Relationship Id="rId35" Type="http://schemas.openxmlformats.org/officeDocument/2006/relationships/hyperlink" Target="https://docs.google.com/presentation/d/13x0xIY83rf2T6brP24Lc9uBCpiGUtdolyymvDmGViPI/edit?slide=id.p" TargetMode="External"/><Relationship Id="rId8" Type="http://schemas.openxmlformats.org/officeDocument/2006/relationships/hyperlink" Target="https://docs.google.com/presentation/d/1uq8ewiSMSuQFAxL3-jeRJXQ2OPA9JIlShaSNNVWZW88/edit?slide=id.p" TargetMode="External"/><Relationship Id="rId3" Type="http://schemas.openxmlformats.org/officeDocument/2006/relationships/hyperlink" Target="https://docs.google.com/presentation/d/1yyc8piftoSmhsD7AhfjntfUciVeuWtOEN81C2SayRPY/edit?slide=id.p"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ocs.google.com/presentation/d/1l4gVdWzoWRud1xaTgip4MzXhYvIcVmr-LkmfACky3OM/edit?slide=id.p" TargetMode="External"/><Relationship Id="rId18" Type="http://schemas.openxmlformats.org/officeDocument/2006/relationships/hyperlink" Target="https://docs.google.com/presentation/d/13N_VIn4oys9YVGkM2F-ZEzZYbjK2bxmL_iR6aSzw8O4/edit?slide=id.p" TargetMode="External"/><Relationship Id="rId26" Type="http://schemas.openxmlformats.org/officeDocument/2006/relationships/hyperlink" Target="https://docs.google.com/presentation/d/1dl5xXZD64x-y58Gn6Kfk84jO_UC0MK2A4nG7h_XWb7k/edit?slide=id.p" TargetMode="External"/><Relationship Id="rId3" Type="http://schemas.openxmlformats.org/officeDocument/2006/relationships/hyperlink" Target="https://docs.google.com/presentation/d/1hxyyJZ4aOgN0-5z5m6PerBDsGNhh6aJ71cjAtXH5WHk/edit?slide=id.p" TargetMode="External"/><Relationship Id="rId21" Type="http://schemas.openxmlformats.org/officeDocument/2006/relationships/hyperlink" Target="https://docs.google.com/presentation/d/1ewBqhbm-u6B137PP5_kUTc9zviZLKVz-RBzspUzYhP0/edit?slide=id.p" TargetMode="External"/><Relationship Id="rId34" Type="http://schemas.openxmlformats.org/officeDocument/2006/relationships/hyperlink" Target="https://docs.google.com/presentation/d/1JO_Vi0FLydwX-_UmVlfQVREeAnYSe_DN61g1_oArkwo/edit?slide=id.p" TargetMode="External"/><Relationship Id="rId7" Type="http://schemas.openxmlformats.org/officeDocument/2006/relationships/hyperlink" Target="https://docs.google.com/presentation/d/15yxObcGYc_pHPwzgOZg48Cx3zIlpjBc3v4ZQb7NELdQ/edit?slide=id.p" TargetMode="External"/><Relationship Id="rId12" Type="http://schemas.openxmlformats.org/officeDocument/2006/relationships/hyperlink" Target="https://docs.google.com/presentation/d/1rmhU8EDgKY1PeddsXe7nMu-TVG-jIlyEeKNPjr7f2nc/edit?slide=id.p" TargetMode="External"/><Relationship Id="rId17" Type="http://schemas.openxmlformats.org/officeDocument/2006/relationships/hyperlink" Target="https://docs.google.com/presentation/d/1th12Mzai4Rll_MvYPfqY3d1g3AQr4RrPUw6KmgcVmJI/edit?slide=id.p" TargetMode="External"/><Relationship Id="rId25" Type="http://schemas.openxmlformats.org/officeDocument/2006/relationships/hyperlink" Target="https://docs.google.com/presentation/d/1_gBup2RWrTLtwVsd_VHvxjbBR4kcy8Vnb4t4j1J3mRw/edit?slide=id.p" TargetMode="External"/><Relationship Id="rId33" Type="http://schemas.openxmlformats.org/officeDocument/2006/relationships/hyperlink" Target="https://docs.google.com/presentation/d/10cPUEGQpKk_IL9Czz01i03VT6I-Q7Z26ONyFTo25Zls/edit?slide=id.p" TargetMode="External"/><Relationship Id="rId2" Type="http://schemas.openxmlformats.org/officeDocument/2006/relationships/hyperlink" Target="https://docs.google.com/presentation/d/1rg05UOdrg-fuPY7iIMxn0O9w6yk6bLLf51t2FzpbYGA/edit?slide=id.p" TargetMode="External"/><Relationship Id="rId16" Type="http://schemas.openxmlformats.org/officeDocument/2006/relationships/hyperlink" Target="https://docs.google.com/presentation/d/1th12Mzai4Rll_MvYPfqY3d1g3AQr4RrPUw6KmgcVmJI/edit?slide=id.p" TargetMode="External"/><Relationship Id="rId20" Type="http://schemas.openxmlformats.org/officeDocument/2006/relationships/hyperlink" Target="https://docs.google.com/presentation/d/1B5V59fCSdXNwefGJa9kH4mQuWxlTDJyfrGWcZFngO9c/edit?slide=id.p" TargetMode="External"/><Relationship Id="rId29" Type="http://schemas.openxmlformats.org/officeDocument/2006/relationships/hyperlink" Target="https://docs.google.com/presentation/d/17NcYXnRar_yCrlx9XkX_hOAVA9ZLJQwDlGJW1oHlsvk/edit?slide=id.p" TargetMode="External"/><Relationship Id="rId1" Type="http://schemas.openxmlformats.org/officeDocument/2006/relationships/hyperlink" Target="https://docs.google.com/presentation/d/1MKsxImxRsfQndd4TKVuSmnSASbVgv5Q6hileepwHreA/edit?slide=id.p" TargetMode="External"/><Relationship Id="rId6" Type="http://schemas.openxmlformats.org/officeDocument/2006/relationships/hyperlink" Target="https://docs.google.com/presentation/d/1gEaU_F5AYFKe0u6uI8n7_Txd15gC20_L_Krm3F51ZKM/edit?slide=id.p" TargetMode="External"/><Relationship Id="rId11" Type="http://schemas.openxmlformats.org/officeDocument/2006/relationships/hyperlink" Target="https://docs.google.com/presentation/d/1qM98cKhdxvJgBzNWVX-IZYEMAzKyQCyGKyPmsv6DmQE/edit?slide=id.p" TargetMode="External"/><Relationship Id="rId24" Type="http://schemas.openxmlformats.org/officeDocument/2006/relationships/hyperlink" Target="https://docs.google.com/presentation/d/1yrIyzUbL_f2gEvbygdipIoIf74nglygszPhvM39icgw/edit?slide=id.p" TargetMode="External"/><Relationship Id="rId32" Type="http://schemas.openxmlformats.org/officeDocument/2006/relationships/hyperlink" Target="https://docs.google.com/presentation/d/17NcYXnRar_yCrlx9XkX_hOAVA9ZLJQwDlGJW1oHlsvk/edit?slide=id.p" TargetMode="External"/><Relationship Id="rId5" Type="http://schemas.openxmlformats.org/officeDocument/2006/relationships/hyperlink" Target="https://docs.google.com/presentation/d/11icvMeVcMN9JIRCnwMu_y0S1NM9H46vr_t_dxAeoofo/edit?slide=id.p" TargetMode="External"/><Relationship Id="rId15" Type="http://schemas.openxmlformats.org/officeDocument/2006/relationships/hyperlink" Target="https://docs.google.com/presentation/d/1By67K0NO2UDfAaZAjBlUWIwc556hEHK7LJ7H73pc5iE/edit?slide=id.p" TargetMode="External"/><Relationship Id="rId23" Type="http://schemas.openxmlformats.org/officeDocument/2006/relationships/hyperlink" Target="https://docs.google.com/presentation/d/1unAuFHt05_YupQbewHgf_34JKjXp3ZsJ14Hvyv99gB0/edit?slide=id.p" TargetMode="External"/><Relationship Id="rId28" Type="http://schemas.openxmlformats.org/officeDocument/2006/relationships/hyperlink" Target="https://docs.google.com/presentation/d/1SthMdmn61zxywg6px1WAVhwPR0ksMRyyQj2PTMee2pE/edit?slide=id.p" TargetMode="External"/><Relationship Id="rId36" Type="http://schemas.openxmlformats.org/officeDocument/2006/relationships/hyperlink" Target="https://cad.onshape.com/documents/f36853e8bf2f733475f83b62/w/1a0e7277cb865014b28a0c5c/e/af53d5bafdb86ad101fcf39c?renderMode=0&amp;uiState=69216716f8b8d17732d28fde" TargetMode="External"/><Relationship Id="rId10" Type="http://schemas.openxmlformats.org/officeDocument/2006/relationships/hyperlink" Target="https://docs.google.com/presentation/d/1WPmWl_RY7WLE6sIsUWfT3MSCwvmN-wlp7s1EZaXJrn0/edit?slide=id.p" TargetMode="External"/><Relationship Id="rId19" Type="http://schemas.openxmlformats.org/officeDocument/2006/relationships/hyperlink" Target="https://docs.google.com/presentation/d/1YQuxMijQOLH_9eDVgudFELK2dkfX9hpg3i4zxh1TcH0/edit?slide=id.p" TargetMode="External"/><Relationship Id="rId31" Type="http://schemas.openxmlformats.org/officeDocument/2006/relationships/hyperlink" Target="https://docs.google.com/presentation/d/1inYnyBuSBATxdQL0cboRzPqxLdJ8QHcl7_eHhr7uEDM/edit?slide=id.g37f1917e506_0_0" TargetMode="External"/><Relationship Id="rId4" Type="http://schemas.openxmlformats.org/officeDocument/2006/relationships/hyperlink" Target="https://docs.google.com/presentation/d/1VMBpEm45ZZleQc8J__zeUhSAgOWxVY9DV5wtxTc_6Ak/edit?slide=id.p" TargetMode="External"/><Relationship Id="rId9" Type="http://schemas.openxmlformats.org/officeDocument/2006/relationships/hyperlink" Target="https://docs.google.com/presentation/d/1fUEvXTqVgF10dm8916Nn_O0rQq38XRoeVq70FHO8og4/edit?slide=id.p" TargetMode="External"/><Relationship Id="rId14" Type="http://schemas.openxmlformats.org/officeDocument/2006/relationships/hyperlink" Target="https://docs.google.com/presentation/d/19OhWz1knbiLQk0GGKVE6jOQF5CAxByJq4dONDIXv824/edit?slide=id.p" TargetMode="External"/><Relationship Id="rId22" Type="http://schemas.openxmlformats.org/officeDocument/2006/relationships/hyperlink" Target="https://docs.google.com/presentation/d/17X3AsTx18cV7M3T5CAQHzhLWPWMeveLdcE7ckKA8xbQ/edit?slide=id.p" TargetMode="External"/><Relationship Id="rId27" Type="http://schemas.openxmlformats.org/officeDocument/2006/relationships/hyperlink" Target="https://docs.google.com/presentation/d/1mQfqKUlYow3j6mz75E9d0Lz3qXKk84LEbvqVSYWHuUU/edit?slide=id.p" TargetMode="External"/><Relationship Id="rId30" Type="http://schemas.openxmlformats.org/officeDocument/2006/relationships/hyperlink" Target="https://docs.google.com/presentation/d/1mL3qFrj6XXGXTlpjXMsx_mVSBbHxQV_qSh_hbsHfRJk/edit?slide=id.p" TargetMode="External"/><Relationship Id="rId35" Type="http://schemas.openxmlformats.org/officeDocument/2006/relationships/hyperlink" Target="https://docs.google.com/presentation/d/17NcYXnRar_yCrlx9XkX_hOAVA9ZLJQwDlGJW1oHlsvk/edit?slide=id.g398a63d0b23_0_0" TargetMode="External"/><Relationship Id="rId8" Type="http://schemas.openxmlformats.org/officeDocument/2006/relationships/hyperlink" Target="https://docs.google.com/presentation/d/1we7dObwxW4ng5r0ppk60szJc971rrqvGAWmJliV-NNI/edit?slide=id.p"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ocs.google.com/presentation/d/1yrIyzUbL_f2gEvbygdipIoIf74nglygszPhvM39icgw/edit?slide=id.p" TargetMode="External"/><Relationship Id="rId18" Type="http://schemas.openxmlformats.org/officeDocument/2006/relationships/hyperlink" Target="https://docs.google.com/presentation/d/1MKsxImxRsfQndd4TKVuSmnSASbVgv5Q6hileepwHreA/edit?slide=id.p" TargetMode="External"/><Relationship Id="rId26" Type="http://schemas.openxmlformats.org/officeDocument/2006/relationships/hyperlink" Target="https://cad.onshape.com/documents/b3b764b34aa459427ff9433b/w/492938ec554d7003c95030f2/e/7659f23adb826a87f7450b55?renderMode=0&amp;uiState=6891fadab9f0ac743303f767" TargetMode="External"/><Relationship Id="rId21" Type="http://schemas.openxmlformats.org/officeDocument/2006/relationships/hyperlink" Target="https://docs.google.com/presentation/d/1By67K0NO2UDfAaZAjBlUWIwc556hEHK7LJ7H73pc5iE/edit?slide=id.p" TargetMode="External"/><Relationship Id="rId34" Type="http://schemas.openxmlformats.org/officeDocument/2006/relationships/hyperlink" Target="https://cad.onshape.com/documents/9df737f2263d250d5d62516d/w/c7f5da3815909077b2a4d43c/e/d4f82566096805066b5d539b?renderMode=0&amp;uiState=68e8b27c157451e528c1eb01" TargetMode="External"/><Relationship Id="rId7" Type="http://schemas.openxmlformats.org/officeDocument/2006/relationships/hyperlink" Target="https://cad.onshape.com/documents/728914a65bd7c67b1769808c/w/05620e9e214e155bcad13d4d/e/bb217bedb2a70700aa672aae?renderMode=0&amp;uiState=6899bdfdbbcdb13e84159fc1" TargetMode="External"/><Relationship Id="rId12" Type="http://schemas.openxmlformats.org/officeDocument/2006/relationships/hyperlink" Target="https://docs.google.com/presentation/d/19OhWz1knbiLQk0GGKVE6jOQF5CAxByJq4dONDIXv824/edit?slide=id.p" TargetMode="External"/><Relationship Id="rId17" Type="http://schemas.openxmlformats.org/officeDocument/2006/relationships/hyperlink" Target="https://docs.google.com/presentation/d/1we7dObwxW4ng5r0ppk60szJc971rrqvGAWmJliV-NNI/edit?slide=id.p" TargetMode="External"/><Relationship Id="rId25" Type="http://schemas.openxmlformats.org/officeDocument/2006/relationships/hyperlink" Target="https://cad.onshape.com/documents/f336582d1c0b08b9f3f9abce/w/9cc3e743f9fa75ff4bd0aec2/e/ae1a3e1e09d5e05313e1b954?renderMode=0&amp;uiState=6891b6406b368808b0e281f5" TargetMode="External"/><Relationship Id="rId33" Type="http://schemas.openxmlformats.org/officeDocument/2006/relationships/hyperlink" Target="https://cad.onshape.com/documents/9b2d93ffc2c23be302bef65f/w/b08a6ebab3a06e98ee655446/e/aad4b53b440d7643f16db73c?renderMode=0&amp;uiState=68d50b2e9c99d4cae603b4ce" TargetMode="External"/><Relationship Id="rId2" Type="http://schemas.openxmlformats.org/officeDocument/2006/relationships/hyperlink" Target="https://docs.google.com/presentation/d/1dl5xXZD64x-y58Gn6Kfk84jO_UC0MK2A4nG7h_XWb7k/edit?slide=id.p" TargetMode="External"/><Relationship Id="rId16" Type="http://schemas.openxmlformats.org/officeDocument/2006/relationships/hyperlink" Target="https://docs.google.com/presentation/d/1YQuxMijQOLH_9eDVgudFELK2dkfX9hpg3i4zxh1TcH0/edit?slide=id.p" TargetMode="External"/><Relationship Id="rId20" Type="http://schemas.openxmlformats.org/officeDocument/2006/relationships/hyperlink" Target="https://docs.google.com/presentation/d/1th12Mzai4Rll_MvYPfqY3d1g3AQr4RrPUw6KmgcVmJI/edit?slide=id.p" TargetMode="External"/><Relationship Id="rId29" Type="http://schemas.openxmlformats.org/officeDocument/2006/relationships/hyperlink" Target="https://docs.google.com/presentation/d/1SthMdmn61zxywg6px1WAVhwPR0ksMRyyQj2PTMee2pE/edit?slide=id.p" TargetMode="External"/><Relationship Id="rId1" Type="http://schemas.openxmlformats.org/officeDocument/2006/relationships/hyperlink" Target="https://cad.onshape.com/documents/f36853e8bf2f733475f83b62/w/1a0e7277cb865014b28a0c5c/e/af53d5bafdb86ad101fcf39c?renderMode=0&amp;uiState=69216716f8b8d17732d28fde" TargetMode="External"/><Relationship Id="rId6" Type="http://schemas.openxmlformats.org/officeDocument/2006/relationships/hyperlink" Target="https://docs.google.com/presentation/d/1l4gVdWzoWRud1xaTgip4MzXhYvIcVmr-LkmfACky3OM/edit?slide=id.p" TargetMode="External"/><Relationship Id="rId11" Type="http://schemas.openxmlformats.org/officeDocument/2006/relationships/hyperlink" Target="https://docs.google.com/presentation/d/1WPmWl_RY7WLE6sIsUWfT3MSCwvmN-wlp7s1EZaXJrn0/edit?slide=id.p" TargetMode="External"/><Relationship Id="rId24" Type="http://schemas.openxmlformats.org/officeDocument/2006/relationships/hyperlink" Target="https://cad.onshape.com/documents/139f4477485891f430519da1/w/edd261396c590d8d33b531b2/e/5224dd094fd91ecfd4455c3c?renderMode=0&amp;uiState=68918ce1418699206e583c70" TargetMode="External"/><Relationship Id="rId32" Type="http://schemas.openxmlformats.org/officeDocument/2006/relationships/hyperlink" Target="https://cad.onshape.com/documents/e2350c1c0ede426d6b94110a/w/3218b51847ea5d1d6d9106dd/e/fe17f72edf545154e9f374f6?renderMode=0&amp;uiState=68c90cd0d084359d12cd3aeb" TargetMode="External"/><Relationship Id="rId37" Type="http://schemas.openxmlformats.org/officeDocument/2006/relationships/hyperlink" Target="https://cad.onshape.com/documents/6d424d579f9c83806945258e/w/dc39fa2fd605330bdc2bef2b/e/c3903cec62dadd968bbe712a?renderMode=0&amp;uiState=694e3253bff1e169b4ac45d8" TargetMode="External"/><Relationship Id="rId5" Type="http://schemas.openxmlformats.org/officeDocument/2006/relationships/hyperlink" Target="https://docs.google.com/presentation/d/1qM98cKhdxvJgBzNWVX-IZYEMAzKyQCyGKyPmsv6DmQE/edit?slide=id.p" TargetMode="External"/><Relationship Id="rId15" Type="http://schemas.openxmlformats.org/officeDocument/2006/relationships/hyperlink" Target="https://docs.google.com/presentation/d/13N_VIn4oys9YVGkM2F-ZEzZYbjK2bxmL_iR6aSzw8O4/edit?slide=id.p" TargetMode="External"/><Relationship Id="rId23" Type="http://schemas.openxmlformats.org/officeDocument/2006/relationships/hyperlink" Target="https://cad.onshape.com/documents/4d1458253b002fda15da24a0/w/7870d8111e77a6468aeba00f/e/0d20e3588609db66a8d7720d?renderMode=0&amp;uiState=68808069c8952e633beb1da1" TargetMode="External"/><Relationship Id="rId28" Type="http://schemas.openxmlformats.org/officeDocument/2006/relationships/hyperlink" Target="https://cad.onshape.com/documents/28fb7b24484998abfdba4d04/w/92465075dfba418a09e6ff60/e/6a5b38b564e177f7a68c5cfb?renderMode=0&amp;uiState=68cba202a2cffe388f9cf768" TargetMode="External"/><Relationship Id="rId36" Type="http://schemas.openxmlformats.org/officeDocument/2006/relationships/hyperlink" Target="https://cad.onshape.com/documents/9b2d93ffc2c23be302bef65f/w/b08a6ebab3a06e98ee655446/e/ebfe54fddda7bd5e1927259e?renderMode=0&amp;uiState=690b336e074d8201442ad1fa" TargetMode="External"/><Relationship Id="rId10" Type="http://schemas.openxmlformats.org/officeDocument/2006/relationships/hyperlink" Target="https://docs.google.com/presentation/d/1ewBqhbm-u6B137PP5_kUTc9zviZLKVz-RBzspUzYhP0/edit?slide=id.p" TargetMode="External"/><Relationship Id="rId19" Type="http://schemas.openxmlformats.org/officeDocument/2006/relationships/hyperlink" Target="https://docs.google.com/presentation/d/1th12Mzai4Rll_MvYPfqY3d1g3AQr4RrPUw6KmgcVmJI/edit?slide=id.p" TargetMode="External"/><Relationship Id="rId31" Type="http://schemas.openxmlformats.org/officeDocument/2006/relationships/hyperlink" Target="https://docs.google.com/presentation/d/1mL3qFrj6XXGXTlpjXMsx_mVSBbHxQV_qSh_hbsHfRJk/edit?slide=id.p" TargetMode="External"/><Relationship Id="rId4" Type="http://schemas.openxmlformats.org/officeDocument/2006/relationships/hyperlink" Target="https://docs.google.com/presentation/d/17X3AsTx18cV7M3T5CAQHzhLWPWMeveLdcE7ckKA8xbQ/edit?slide=id.p" TargetMode="External"/><Relationship Id="rId9" Type="http://schemas.openxmlformats.org/officeDocument/2006/relationships/hyperlink" Target="https://docs.google.com/presentation/d/1B5V59fCSdXNwefGJa9kH4mQuWxlTDJyfrGWcZFngO9c/edit?slide=id.p" TargetMode="External"/><Relationship Id="rId14" Type="http://schemas.openxmlformats.org/officeDocument/2006/relationships/hyperlink" Target="https://docs.google.com/presentation/d/1_gBup2RWrTLtwVsd_VHvxjbBR4kcy8Vnb4t4j1J3mRw/edit?slide=id.p" TargetMode="External"/><Relationship Id="rId22" Type="http://schemas.openxmlformats.org/officeDocument/2006/relationships/hyperlink" Target="https://cad.onshape.com/documents/f978363bae861094ffc7c72f/w/c01d7e910efd0f7f6e3dcd35/e/db65726e76a06d01bd47c2a0?renderMode=0&amp;uiState=688768a03044c0651c0bcb84" TargetMode="External"/><Relationship Id="rId27" Type="http://schemas.openxmlformats.org/officeDocument/2006/relationships/hyperlink" Target="https://cad.onshape.com/documents/c82082cf5079b6b588ea96ad/w/28b8a019b26a5908ed9292db/e/03b70f3a1698e0775b6a9f46?renderMode=0&amp;uiState=68947bfe52238c67970cb7ad" TargetMode="External"/><Relationship Id="rId30" Type="http://schemas.openxmlformats.org/officeDocument/2006/relationships/hyperlink" Target="https://cad.onshape.com/documents/9b2d93ffc2c23be302bef65f/w/b08a6ebab3a06e98ee655446/e/1ba8f7c287898da858b93863?renderMode=0&amp;uiState=68d3dab8f6f909e469da6f3e" TargetMode="External"/><Relationship Id="rId35" Type="http://schemas.openxmlformats.org/officeDocument/2006/relationships/hyperlink" Target="https://cad.onshape.com/documents/4f14f89b899be0414e86f447/w/2e55ac010b84b073c296eaad/e/6ba78ec4003dfd3a40f0d979?renderMode=0&amp;uiState=68fca9058360a50150ebe22b" TargetMode="External"/><Relationship Id="rId8" Type="http://schemas.openxmlformats.org/officeDocument/2006/relationships/hyperlink" Target="https://docs.google.com/presentation/d/1rmhU8EDgKY1PeddsXe7nMu-TVG-jIlyEeKNPjr7f2nc/edit?slide=id.p" TargetMode="External"/><Relationship Id="rId3" Type="http://schemas.openxmlformats.org/officeDocument/2006/relationships/hyperlink" Target="https://docs.google.com/presentation/d/1unAuFHt05_YupQbewHgf_34JKjXp3ZsJ14Hvyv99gB0/edit?slide=id.p"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ocs.google.com/spreadsheets/d/1u0cUV5j8AR-IG0-JlCl83W4dPyt263MwgSxdfHJtffw/edit?gid=0" TargetMode="External"/><Relationship Id="rId13" Type="http://schemas.openxmlformats.org/officeDocument/2006/relationships/hyperlink" Target="https://docs.google.com/presentation/d/1g6HMOIAsoDKF__B_3xp6h1k868-f530m_H0eKDUXWU8/edit?slide=id.g35e26c3546c_0_145" TargetMode="External"/><Relationship Id="rId18" Type="http://schemas.openxmlformats.org/officeDocument/2006/relationships/drawing" Target="../drawings/drawing1.xml"/><Relationship Id="rId3" Type="http://schemas.openxmlformats.org/officeDocument/2006/relationships/hyperlink" Target="https://meet.google.com/ogd-tvab-qod" TargetMode="External"/><Relationship Id="rId7" Type="http://schemas.openxmlformats.org/officeDocument/2006/relationships/hyperlink" Target="https://docs.google.com/document/d/10C81LTKJ04D49Ngocp1cJng1SVVinbf81YJbyClCpJc/edit?tab=t.0" TargetMode="External"/><Relationship Id="rId12" Type="http://schemas.openxmlformats.org/officeDocument/2006/relationships/hyperlink" Target="https://docs.google.com/presentation/d/1QxSNZI9GLxMcyfGm_h5IkoEgofIVnQCKPMMQQtBhXtM/edit?slide=id.p" TargetMode="External"/><Relationship Id="rId17" Type="http://schemas.openxmlformats.org/officeDocument/2006/relationships/hyperlink" Target="https://www.happyscribe.com/language_service/document_conversions/6876e241ad984c46bf9df668271a833a" TargetMode="External"/><Relationship Id="rId2" Type="http://schemas.openxmlformats.org/officeDocument/2006/relationships/hyperlink" Target="https://docs.google.com/spreadsheets/d/1el8F9F_drwGbGf_PBYAIebtrcpQTQEVmiLLgTaKMcLw/edit?gid=0" TargetMode="External"/><Relationship Id="rId16" Type="http://schemas.openxmlformats.org/officeDocument/2006/relationships/hyperlink" Target="https://mahendranw-my.sharepoint.com/:u:/g/personal/ignesh_rathinavelu_mnw_co_in/EYsFsAifSCxDgu0csTXfB5IB4vcdBR7vYDNcFkMtu7wJsA?e=ssQLZe" TargetMode="External"/><Relationship Id="rId1" Type="http://schemas.openxmlformats.org/officeDocument/2006/relationships/hyperlink" Target="https://docs.google.com/presentation/d/1t_qMBDZdk1AVXNrkqVlG_MW-Mrc0SIqg9Z_gg5xSotk/edit" TargetMode="External"/><Relationship Id="rId6" Type="http://schemas.openxmlformats.org/officeDocument/2006/relationships/hyperlink" Target="https://docs.google.com/presentation/d/1t_qMBDZdk1AVXNrkqVlG_MW-Mrc0SIqg9Z_gg5xSotk/edit" TargetMode="External"/><Relationship Id="rId11" Type="http://schemas.openxmlformats.org/officeDocument/2006/relationships/hyperlink" Target="https://www.veed.io/workspaces/db77a091-0fd6-4334-b517-27d02c67e798/home?initTab=ai_apps" TargetMode="External"/><Relationship Id="rId5" Type="http://schemas.openxmlformats.org/officeDocument/2006/relationships/hyperlink" Target="https://docs.google.com/document/d/1hv5I4w-aqr9nNrOgwN9kjNSCSV38ej8vejs1vb-18zM/edit?tab=t.0" TargetMode="External"/><Relationship Id="rId15" Type="http://schemas.openxmlformats.org/officeDocument/2006/relationships/hyperlink" Target="https://nextlearn.nextwealth.com/login/index.php" TargetMode="External"/><Relationship Id="rId10" Type="http://schemas.openxmlformats.org/officeDocument/2006/relationships/hyperlink" Target="https://docs.google.com/presentation/d/1PQX56H_HUfFDqHa27oy049LiFkL3S6q-CNjCcG6JxCA/edit" TargetMode="External"/><Relationship Id="rId4" Type="http://schemas.openxmlformats.org/officeDocument/2006/relationships/hyperlink" Target="https://docs.google.com/presentation/d/1N090PR8h4ohxrlcQZ2YyysIj0B7hjnUpcdXh4FLD4dI/edit" TargetMode="External"/><Relationship Id="rId9" Type="http://schemas.openxmlformats.org/officeDocument/2006/relationships/hyperlink" Target="https://docs.google.com/spreadsheets/d/1u0cUV5j8AR-IG0-JlCl83W4dPyt263MwgSxdfHJtffw/edit?gid=0" TargetMode="External"/><Relationship Id="rId14" Type="http://schemas.openxmlformats.org/officeDocument/2006/relationships/hyperlink" Target="https://docs.google.com/document/d/1Di8pQnHAY5dXEC6NGgaAtChik9ny1mJkrBoQQIfob_s/edit?tab=t.0"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presentation/d/1t_qMBDZdk1AVXNrkqVlG_MW-Mrc0SIqg9Z_gg5xSotk/edi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presentation/d/1EGy9PspUiDXOKTk6kVvqVUy6EDbTnPVXfia1UXYep40/edit"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docs.google.com/presentation/d/1CRsCTx_U68rD_06LO5GcZYUouAm_EfcLIwO_8XTXS68/edit?slide=id.g3a0722e8fad_0_6" TargetMode="External"/><Relationship Id="rId21" Type="http://schemas.openxmlformats.org/officeDocument/2006/relationships/hyperlink" Target="https://cad.onshape.com/documents/fdcdfc9d7e23b3a12aad73a5/w/9ac67d32617f4aa6745322df/e/8984e6564de24ecd5ac7ae32?renderMode=0&amp;uiState=686cff17bffb5d09b6679e0e" TargetMode="External"/><Relationship Id="rId42" Type="http://schemas.openxmlformats.org/officeDocument/2006/relationships/hyperlink" Target="https://docs.google.com/presentation/d/1IGiy30gnfSYAOwixpqYriw-1nZwW7PVFpHsZOl15Xqk/edit?slide=id.p" TargetMode="External"/><Relationship Id="rId63" Type="http://schemas.openxmlformats.org/officeDocument/2006/relationships/hyperlink" Target="https://docs.google.com/presentation/d/1YQuxMijQOLH_9eDVgudFELK2dkfX9hpg3i4zxh1TcH0/edit?slide=id.p" TargetMode="External"/><Relationship Id="rId84" Type="http://schemas.openxmlformats.org/officeDocument/2006/relationships/hyperlink" Target="https://docs.google.com/presentation/d/1t-RM6HzGy71etxVqRU0OgFFEnRQ0T2vt3ZZS4NbddTY/edit?slide=id.p" TargetMode="External"/><Relationship Id="rId138" Type="http://schemas.openxmlformats.org/officeDocument/2006/relationships/hyperlink" Target="https://docs.google.com/presentation/d/1zpqzPITT_k0vkFeK1YtJ1AfE2fi2-eYlPjBRuiBIirc/edit?slide=id.p" TargetMode="External"/><Relationship Id="rId107" Type="http://schemas.openxmlformats.org/officeDocument/2006/relationships/hyperlink" Target="https://docs.google.com/presentation/d/10cPUEGQpKk_IL9Czz01i03VT6I-Q7Z26ONyFTo25Zls/edit?slide=id.p" TargetMode="External"/><Relationship Id="rId11" Type="http://schemas.openxmlformats.org/officeDocument/2006/relationships/hyperlink" Target="https://cad.onshape.com/documents/307ea72654e942afcbbe5b40/w/a5668f6f56e3e46a451ae23b/e/69d5866a8a62c093241c8ad2?renderMode=0&amp;uiState=685e8e30c4bb9e3bfb94300a" TargetMode="External"/><Relationship Id="rId32" Type="http://schemas.openxmlformats.org/officeDocument/2006/relationships/hyperlink" Target="https://docs.google.com/presentation/d/1U9JJIbGAYJW9D9mcqoEcDQdmh6qt0PYEzQHwf4NIw38/edit?slide=id.g36f5ad442fd_0_1" TargetMode="External"/><Relationship Id="rId37" Type="http://schemas.openxmlformats.org/officeDocument/2006/relationships/hyperlink" Target="https://docs.google.com/presentation/d/15yxObcGYc_pHPwzgOZg48Cx3zIlpjBc3v4ZQb7NELdQ/edit?slide=id.g37170281507_0_9" TargetMode="External"/><Relationship Id="rId53" Type="http://schemas.openxmlformats.org/officeDocument/2006/relationships/hyperlink" Target="https://docs.google.com/presentation/d/11icvMeVcMN9JIRCnwMu_y0S1NM9H46vr_t_dxAeoofo/edit?slide=id.p" TargetMode="External"/><Relationship Id="rId58" Type="http://schemas.openxmlformats.org/officeDocument/2006/relationships/hyperlink" Target="https://docs.google.com/presentation/d/1we7dObwxW4ng5r0ppk60szJc971rrqvGAWmJliV-NNI/edit?slide=id.p" TargetMode="External"/><Relationship Id="rId74" Type="http://schemas.openxmlformats.org/officeDocument/2006/relationships/hyperlink" Target="https://docs.google.com/presentation/d/14Jf_MnahDp-gaKlXTNC9g31dH6vhUgqYiqrAG3th1jA/edit?slide=id.p" TargetMode="External"/><Relationship Id="rId79" Type="http://schemas.openxmlformats.org/officeDocument/2006/relationships/hyperlink" Target="https://docs.google.com/presentation/d/1_oMpjbktz4_3TWD2bqqU7FFLw3n-IljtxeRwgXPwT3E/edit?slide=id.p" TargetMode="External"/><Relationship Id="rId102" Type="http://schemas.openxmlformats.org/officeDocument/2006/relationships/hyperlink" Target="https://docs.google.com/presentation/d/1b1sKDTrjLKAsG9lFOd3v8OnXWqaaWPMoX5sUIPV8MsM/edit?slide=id.g388a6696662_0_1" TargetMode="External"/><Relationship Id="rId123" Type="http://schemas.openxmlformats.org/officeDocument/2006/relationships/hyperlink" Target="https://cad.onshape.com/documents/f36853e8bf2f733475f83b62/w/1a0e7277cb865014b28a0c5c/e/af53d5bafdb86ad101fcf39c?renderMode=0&amp;uiState=69216716f8b8d17732d28fde" TargetMode="External"/><Relationship Id="rId128" Type="http://schemas.openxmlformats.org/officeDocument/2006/relationships/hyperlink" Target="https://cad.onshape.com/documents/779e301bfbeb68dcc93951a7/w/e441bd0af8000c7b011c978c/e/03392c0a981a077e0f7cac4f?renderMode=0&amp;uiState=6930219c63ffc5e7d1651387" TargetMode="External"/><Relationship Id="rId5" Type="http://schemas.openxmlformats.org/officeDocument/2006/relationships/hyperlink" Target="https://docs.google.com/presentation/d/1RUbv6UoOcUt1bMuuZKMZDqgAhouNez89QmX21KH4VA4/edit?slide=id.g369c2b1f813_0_31" TargetMode="External"/><Relationship Id="rId90" Type="http://schemas.openxmlformats.org/officeDocument/2006/relationships/hyperlink" Target="https://docs.google.com/presentation/d/1OI6CBo_IDA8ewS8zf5sRY-r8Lh0LLTmU4aolMFgALno/edit?slide=id.g3699a812f5d_0_225" TargetMode="External"/><Relationship Id="rId95" Type="http://schemas.openxmlformats.org/officeDocument/2006/relationships/hyperlink" Target="https://docs.google.com/presentation/d/1BGRb-Kma4DpeknNpOB81F4_8NxCNVuXruaHQ7817FTY/edit?slide=id.p" TargetMode="External"/><Relationship Id="rId22" Type="http://schemas.openxmlformats.org/officeDocument/2006/relationships/hyperlink" Target="https://docs.google.com/presentation/d/1Ts-xD6Hz3H5rtA7wCJptmU-_vjpDq5qvQTBkR4Srlso/edit?slide=id.g36ba564c0c5_0_14" TargetMode="External"/><Relationship Id="rId27" Type="http://schemas.openxmlformats.org/officeDocument/2006/relationships/hyperlink" Target="https://docs.google.com/presentation/d/1mB9eIQGxdGlZzVsoFrbW57T8mX94mk2ji6FZuJ2uYjg/edit?slide=id.p" TargetMode="External"/><Relationship Id="rId43" Type="http://schemas.openxmlformats.org/officeDocument/2006/relationships/hyperlink" Target="https://docs.google.com/presentation/d/1HKcZJQGgJ-lgH-AfXLHV6uCoHETQwyntnyz65DWRnOs/edit?slide=id.p" TargetMode="External"/><Relationship Id="rId48" Type="http://schemas.openxmlformats.org/officeDocument/2006/relationships/hyperlink" Target="https://docs.google.com/presentation/d/1hxyyJZ4aOgN0-5z5m6PerBDsGNhh6aJ71cjAtXH5WHk/edit?slide=id.p" TargetMode="External"/><Relationship Id="rId64" Type="http://schemas.openxmlformats.org/officeDocument/2006/relationships/hyperlink" Target="https://docs.google.com/presentation/d/1B5V59fCSdXNwefGJa9kH4mQuWxlTDJyfrGWcZFngO9c/edit?slide=id.p" TargetMode="External"/><Relationship Id="rId69" Type="http://schemas.openxmlformats.org/officeDocument/2006/relationships/hyperlink" Target="https://docs.google.com/presentation/d/1rg05UOdrg-fuPY7iIMxn0O9w6yk6bLLf51t2FzpbYGA/edit?slide=id.p" TargetMode="External"/><Relationship Id="rId113" Type="http://schemas.openxmlformats.org/officeDocument/2006/relationships/hyperlink" Target="https://cad.onshape.com/documents/abd9e1def78ee1f04611b381/w/aa3c78818042456c1973deac/e/4d6f576312d870a8b30e70df?renderMode=0&amp;uiState=68f8c627fffe901791c44433" TargetMode="External"/><Relationship Id="rId118" Type="http://schemas.openxmlformats.org/officeDocument/2006/relationships/hyperlink" Target="https://docs.google.com/presentation/d/1yyc8piftoSmhsD7AhfjntfUciVeuWtOEN81C2SayRPY/edit?slide=id.p" TargetMode="External"/><Relationship Id="rId134" Type="http://schemas.openxmlformats.org/officeDocument/2006/relationships/hyperlink" Target="https://docs.google.com/presentation/d/1cvz6P9fsKZ-mUZiL_4LkIv0kriR7Va8y/edit?slide=id.p1" TargetMode="External"/><Relationship Id="rId139" Type="http://schemas.openxmlformats.org/officeDocument/2006/relationships/hyperlink" Target="https://docs.google.com/spreadsheets/d/1s1Mtdlgvdy-zQw9iOXwwLKmDgc7RWn3hvYv-nxy6YqU/edit?gid=127426515" TargetMode="External"/><Relationship Id="rId80" Type="http://schemas.openxmlformats.org/officeDocument/2006/relationships/hyperlink" Target="https://docs.google.com/presentation/d/1mQfqKUlYow3j6mz75E9d0Lz3qXKk84LEbvqVSYWHuUU/edit?slide=id.p" TargetMode="External"/><Relationship Id="rId85" Type="http://schemas.openxmlformats.org/officeDocument/2006/relationships/hyperlink" Target="https://docs.google.com/presentation/d/1ptpw5Jcug9jV7-84oBwqag1g1UlcH1_IO_ZaZkX2BNk/edit?slide=id.p" TargetMode="External"/><Relationship Id="rId12" Type="http://schemas.openxmlformats.org/officeDocument/2006/relationships/hyperlink" Target="https://cad.onshape.com/documents/59ecc740c4ef06229556895b/w/f659e7ca2e2800598b73684d/e/8368c8c2be72adcc72dd1d5e?renderMode=0&amp;uiState=685e8e46e2b2e65f38d7c8a6" TargetMode="External"/><Relationship Id="rId17" Type="http://schemas.openxmlformats.org/officeDocument/2006/relationships/hyperlink" Target="https://docs.google.com/presentation/d/1H6bqGpbcUfzOwNPfp5-hh74uMQ32gSIVRooqx8ANwYk/edit?slide=id.p" TargetMode="External"/><Relationship Id="rId33" Type="http://schemas.openxmlformats.org/officeDocument/2006/relationships/hyperlink" Target="https://docs.google.com/presentation/d/1mB9eIQGxdGlZzVsoFrbW57T8mX94mk2ji6FZuJ2uYjg/edit?slide=id.p" TargetMode="External"/><Relationship Id="rId38" Type="http://schemas.openxmlformats.org/officeDocument/2006/relationships/hyperlink" Target="https://docs.google.com/presentation/d/15yxObcGYc_pHPwzgOZg48Cx3zIlpjBc3v4ZQb7NELdQ/edit?slide=id.p" TargetMode="External"/><Relationship Id="rId59" Type="http://schemas.openxmlformats.org/officeDocument/2006/relationships/hyperlink" Target="https://docs.google.com/presentation/d/1l4gVdWzoWRud1xaTgip4MzXhYvIcVmr-LkmfACky3OM/edit?slide=id.p" TargetMode="External"/><Relationship Id="rId103" Type="http://schemas.openxmlformats.org/officeDocument/2006/relationships/hyperlink" Target="https://docs.google.com/presentation/d/1yyc8piftoSmhsD7AhfjntfUciVeuWtOEN81C2SayRPY/edit?slide=id.p" TargetMode="External"/><Relationship Id="rId108" Type="http://schemas.openxmlformats.org/officeDocument/2006/relationships/hyperlink" Target="https://docs.google.com/presentation/d/10cPUEGQpKk_IL9Czz01i03VT6I-Q7Z26ONyFTo25Zls/edit?slide=id.p" TargetMode="External"/><Relationship Id="rId124" Type="http://schemas.openxmlformats.org/officeDocument/2006/relationships/hyperlink" Target="https://docs.google.com/presentation/d/1OI6CBo_IDA8ewS8zf5sRY-r8Lh0LLTmU4aolMFgALno/edit?slide=id.g3699a812f5d_0_225" TargetMode="External"/><Relationship Id="rId129" Type="http://schemas.openxmlformats.org/officeDocument/2006/relationships/hyperlink" Target="https://docs.google.com/presentation/d/1zpqzPITT_k0vkFeK1YtJ1AfE2fi2-eYlPjBRuiBIirc/edit?slide=id.p" TargetMode="External"/><Relationship Id="rId54" Type="http://schemas.openxmlformats.org/officeDocument/2006/relationships/hyperlink" Target="https://docs.google.com/presentation/d/1fPwsSRa5joCuN9eKDeBz5jOg8IoA8sfPmW5Yb8LTcMc/edit?slide=id.p" TargetMode="External"/><Relationship Id="rId70" Type="http://schemas.openxmlformats.org/officeDocument/2006/relationships/hyperlink" Target="https://docs.google.com/presentation/d/1dl5xXZD64x-y58Gn6Kfk84jO_UC0MK2A4nG7h_XWb7k/edit?slide=id.p" TargetMode="External"/><Relationship Id="rId75" Type="http://schemas.openxmlformats.org/officeDocument/2006/relationships/hyperlink" Target="https://docs.google.com/presentation/d/1_oMpjbktz4_3TWD2bqqU7FFLw3n-IljtxeRwgXPwT3E/edit?slide=id.p" TargetMode="External"/><Relationship Id="rId91" Type="http://schemas.openxmlformats.org/officeDocument/2006/relationships/hyperlink" Target="https://docs.google.com/presentation/d/1mQfqKUlYow3j6mz75E9d0Lz3qXKk84LEbvqVSYWHuUU/edit?slide=id.p" TargetMode="External"/><Relationship Id="rId96" Type="http://schemas.openxmlformats.org/officeDocument/2006/relationships/hyperlink" Target="https://docs.google.com/presentation/d/1Hlf7-mAN4mZW2GZh9kNtpjOpUHAg3rRyIsM8ZxIxPOQ/edit?slide=id.p" TargetMode="External"/><Relationship Id="rId140" Type="http://schemas.openxmlformats.org/officeDocument/2006/relationships/hyperlink" Target="https://docs.google.com/presentation/d/1CRsCTx_U68rD_06LO5GcZYUouAm_EfcLIwO_8XTXS68/edit?slide=id.g3a0722e8fad_0_6" TargetMode="External"/><Relationship Id="rId1" Type="http://schemas.openxmlformats.org/officeDocument/2006/relationships/hyperlink" Target="https://docs.google.com/presentation/d/1sxOndw59A0tneA-HgLr55wwg3wepH8MbwTFFW8rzNAY/edit?slide=id.p" TargetMode="External"/><Relationship Id="rId6" Type="http://schemas.openxmlformats.org/officeDocument/2006/relationships/hyperlink" Target="https://docs.google.com/presentation/d/1iga3HCaqX3gsZ61WA8MIUCIQjiea-L4bpgB2sviAOEg/edit?slide=id.p" TargetMode="External"/><Relationship Id="rId23" Type="http://schemas.openxmlformats.org/officeDocument/2006/relationships/hyperlink" Target="https://cad.onshape.com/documents/b9344a7044acc0de0f742920/w/eb88daa1b5f1be85ac6ed994/e/3aeb055cdf27c8f51297ca85?renderMode=0&amp;uiState=686e5193b1b1eb3d6f78f79e" TargetMode="External"/><Relationship Id="rId28" Type="http://schemas.openxmlformats.org/officeDocument/2006/relationships/hyperlink" Target="https://docs.google.com/presentation/d/14E1KqUHFHUSYIlFWuXB-GztKf1M2rhL2o08e4gLy41c/edit?slide=id.g370d0714745_0_1" TargetMode="External"/><Relationship Id="rId49" Type="http://schemas.openxmlformats.org/officeDocument/2006/relationships/hyperlink" Target="https://docs.google.com/presentation/d/1VMBpEm45ZZleQc8J__zeUhSAgOWxVY9DV5wtxTc_6Ak/edit?slide=id.p" TargetMode="External"/><Relationship Id="rId114" Type="http://schemas.openxmlformats.org/officeDocument/2006/relationships/hyperlink" Target="https://docs.google.com/presentation/d/1zpqzPITT_k0vkFeK1YtJ1AfE2fi2-eYlPjBRuiBIirc/edit?slide=id.p" TargetMode="External"/><Relationship Id="rId119" Type="http://schemas.openxmlformats.org/officeDocument/2006/relationships/hyperlink" Target="https://docs.google.com/presentation/d/1Hlf7-mAN4mZW2GZh9kNtpjOpUHAg3rRyIsM8ZxIxPOQ/edit?slide=id.p" TargetMode="External"/><Relationship Id="rId44" Type="http://schemas.openxmlformats.org/officeDocument/2006/relationships/hyperlink" Target="https://docs.google.com/presentation/d/1HKcZJQGgJ-lgH-AfXLHV6uCoHETQwyntnyz65DWRnOs/edit?slide=id.p" TargetMode="External"/><Relationship Id="rId60" Type="http://schemas.openxmlformats.org/officeDocument/2006/relationships/hyperlink" Target="https://docs.google.com/presentation/d/1By67K0NO2UDfAaZAjBlUWIwc556hEHK7LJ7H73pc5iE/edit?slide=id.p" TargetMode="External"/><Relationship Id="rId65" Type="http://schemas.openxmlformats.org/officeDocument/2006/relationships/hyperlink" Target="https://docs.google.com/presentation/d/1ewBqhbm-u6B137PP5_kUTc9zviZLKVz-RBzspUzYhP0/edit?slide=id.p" TargetMode="External"/><Relationship Id="rId81" Type="http://schemas.openxmlformats.org/officeDocument/2006/relationships/hyperlink" Target="https://docs.google.com/presentation/d/1_EqfXSKO595nUy8oZ9VBx9gg0WjapijCqkJkLYA_d-8/edit?slide=id.p" TargetMode="External"/><Relationship Id="rId86" Type="http://schemas.openxmlformats.org/officeDocument/2006/relationships/hyperlink" Target="https://docs.google.com/presentation/d/1ptpw5Jcug9jV7-84oBwqag1g1UlcH1_IO_ZaZkX2BNk/edit?slide=id.p" TargetMode="External"/><Relationship Id="rId130" Type="http://schemas.openxmlformats.org/officeDocument/2006/relationships/hyperlink" Target="https://docs.google.com/presentation/d/1CRsCTx_U68rD_06LO5GcZYUouAm_EfcLIwO_8XTXS68/edit?slide=id.g3a0722e8fad_0_6" TargetMode="External"/><Relationship Id="rId135" Type="http://schemas.openxmlformats.org/officeDocument/2006/relationships/hyperlink" Target="https://docs.google.com/presentation/d/1OI6CBo_IDA8ewS8zf5sRY-r8Lh0LLTmU4aolMFgALno/edit?slide=id.g3699a812f5d_0_225" TargetMode="External"/><Relationship Id="rId13" Type="http://schemas.openxmlformats.org/officeDocument/2006/relationships/hyperlink" Target="https://docs.google.com/presentation/d/1Ts-xD6Hz3H5rtA7wCJptmU-_vjpDq5qvQTBkR4Srlso/edit?slide=id.p" TargetMode="External"/><Relationship Id="rId18" Type="http://schemas.openxmlformats.org/officeDocument/2006/relationships/hyperlink" Target="https://docs.google.com/presentation/d/12VMAs0hXsHsHhlMKPiBWj8be8zqzfoW6CeKZoLNma-4/edit?slide=id.g36c7cfaf23a_0_296" TargetMode="External"/><Relationship Id="rId39" Type="http://schemas.openxmlformats.org/officeDocument/2006/relationships/hyperlink" Target="https://docs.google.com/presentation/d/15yxObcGYc_pHPwzgOZg48Cx3zIlpjBc3v4ZQb7NELdQ/edit?slide=id.p" TargetMode="External"/><Relationship Id="rId109" Type="http://schemas.openxmlformats.org/officeDocument/2006/relationships/hyperlink" Target="https://docs.google.com/presentation/d/1Ts-xD6Hz3H5rtA7wCJptmU-_vjpDq5qvQTBkR4Srlso/edit?slide=id.p" TargetMode="External"/><Relationship Id="rId34" Type="http://schemas.openxmlformats.org/officeDocument/2006/relationships/hyperlink" Target="https://docs.google.com/presentation/d/1mB9eIQGxdGlZzVsoFrbW57T8mX94mk2ji6FZuJ2uYjg/edit?slide=id.g36f29e9047d_0_0" TargetMode="External"/><Relationship Id="rId50" Type="http://schemas.openxmlformats.org/officeDocument/2006/relationships/hyperlink" Target="https://docs.google.com/presentation/d/11icvMeVcMN9JIRCnwMu_y0S1NM9H46vr_t_dxAeoofo/edit?slide=id.p" TargetMode="External"/><Relationship Id="rId55" Type="http://schemas.openxmlformats.org/officeDocument/2006/relationships/hyperlink" Target="https://docs.google.com/presentation/d/1hxyyJZ4aOgN0-5z5m6PerBDsGNhh6aJ71cjAtXH5WHk/edit?slide=id.p" TargetMode="External"/><Relationship Id="rId76" Type="http://schemas.openxmlformats.org/officeDocument/2006/relationships/hyperlink" Target="https://docs.google.com/presentation/d/1aC8cSxQ1rwjYPRrOVqI6Fe4pCfY3S58Rsblif0ocS5o/edit?slide=id.p" TargetMode="External"/><Relationship Id="rId97" Type="http://schemas.openxmlformats.org/officeDocument/2006/relationships/hyperlink" Target="https://docs.google.com/presentation/d/1yyc8piftoSmhsD7AhfjntfUciVeuWtOEN81C2SayRPY/edit?slide=id.p" TargetMode="External"/><Relationship Id="rId104" Type="http://schemas.openxmlformats.org/officeDocument/2006/relationships/hyperlink" Target="https://docs.google.com/presentation/d/1Hlf7-mAN4mZW2GZh9kNtpjOpUHAg3rRyIsM8ZxIxPOQ/edit?slide=id.p" TargetMode="External"/><Relationship Id="rId120" Type="http://schemas.openxmlformats.org/officeDocument/2006/relationships/hyperlink" Target="https://docs.google.com/presentation/d/1CRsCTx_U68rD_06LO5GcZYUouAm_EfcLIwO_8XTXS68/edit?slide=id.g3a0722e8fad_0_6" TargetMode="External"/><Relationship Id="rId125" Type="http://schemas.openxmlformats.org/officeDocument/2006/relationships/hyperlink" Target="https://cad.onshape.com/documents/9b15b753b54f085a266e0c75/w/ffe9a584218f476146514127/e/20d7b9be1924c4289f200249?renderMode=0&amp;uiState=6929934f9aa4b85cf5ccc85f" TargetMode="External"/><Relationship Id="rId141" Type="http://schemas.openxmlformats.org/officeDocument/2006/relationships/hyperlink" Target="https://docs.google.com/presentation/d/1LgpXNRoGJQ28GPWeBqy4iXQ2rg5evlk2xL5wEnuHrx0/edit?slide=id.g3a0722e8fad_0_6" TargetMode="External"/><Relationship Id="rId7" Type="http://schemas.openxmlformats.org/officeDocument/2006/relationships/hyperlink" Target="https://docs.google.com/presentation/d/1w2xPVpx6lUVOnPpOLYfjlB1EbFz6kw1CLeu2JbjNUO4/edit?slide=id.g369c7b6c899_0_8" TargetMode="External"/><Relationship Id="rId71" Type="http://schemas.openxmlformats.org/officeDocument/2006/relationships/hyperlink" Target="https://docs.google.com/presentation/d/1BGRb-Kma4DpeknNpOB81F4_8NxCNVuXruaHQ7817FTY/edit?slide=id.p" TargetMode="External"/><Relationship Id="rId92" Type="http://schemas.openxmlformats.org/officeDocument/2006/relationships/hyperlink" Target="https://docs.google.com/presentation/d/1yyc8piftoSmhsD7AhfjntfUciVeuWtOEN81C2SayRPY/edit?slide=id.p" TargetMode="External"/><Relationship Id="rId2" Type="http://schemas.openxmlformats.org/officeDocument/2006/relationships/hyperlink" Target="https://docs.google.com/presentation/d/1sxOndw59A0tneA-HgLr55wwg3wepH8MbwTFFW8rzNAY/edit?slide=id.p" TargetMode="External"/><Relationship Id="rId29" Type="http://schemas.openxmlformats.org/officeDocument/2006/relationships/hyperlink" Target="https://docs.google.com/presentation/d/1mdLwkibwltw28IgQ1fRIZutMXrAUOHY1hZZkm9g1XYA/edit?slide=id.p" TargetMode="External"/><Relationship Id="rId24" Type="http://schemas.openxmlformats.org/officeDocument/2006/relationships/hyperlink" Target="https://cad.onshape.com/documents/0c0d6098fed99f578385fbfb/w/932750ac70fa8cab34a4c94e/e/e3246d92d0be8f7b2ec32a33?renderMode=0&amp;uiState=686fa93fea8abf351196978b" TargetMode="External"/><Relationship Id="rId40" Type="http://schemas.openxmlformats.org/officeDocument/2006/relationships/hyperlink" Target="https://docs.google.com/presentation/d/1Ts-xD6Hz3H5rtA7wCJptmU-_vjpDq5qvQTBkR4Srlso/edit?slide=id.p" TargetMode="External"/><Relationship Id="rId45" Type="http://schemas.openxmlformats.org/officeDocument/2006/relationships/hyperlink" Target="https://docs.google.com/presentation/d/1IGiy30gnfSYAOwixpqYriw-1nZwW7PVFpHsZOl15Xqk/edit?slide=id.g373e21e48dc_0_0" TargetMode="External"/><Relationship Id="rId66" Type="http://schemas.openxmlformats.org/officeDocument/2006/relationships/hyperlink" Target="https://docs.google.com/presentation/d/1yrIyzUbL_f2gEvbygdipIoIf74nglygszPhvM39icgw/edit?slide=id.p" TargetMode="External"/><Relationship Id="rId87" Type="http://schemas.openxmlformats.org/officeDocument/2006/relationships/hyperlink" Target="https://docs.google.com/presentation/d/1ptpw5Jcug9jV7-84oBwqag1g1UlcH1_IO_ZaZkX2BNk/edit?slide=id.p" TargetMode="External"/><Relationship Id="rId110" Type="http://schemas.openxmlformats.org/officeDocument/2006/relationships/hyperlink" Target="https://docs.google.com/presentation/d/1yyc8piftoSmhsD7AhfjntfUciVeuWtOEN81C2SayRPY/edit?slide=id.p" TargetMode="External"/><Relationship Id="rId115" Type="http://schemas.openxmlformats.org/officeDocument/2006/relationships/hyperlink" Target="https://cad.onshape.com/documents/4f14f89b899be0414e86f447/w/2e55ac010b84b073c296eaad/e/6ba78ec4003dfd3a40f0d979?renderMode=0&amp;uiState=68fcb7de8360a50150ed4e55" TargetMode="External"/><Relationship Id="rId131" Type="http://schemas.openxmlformats.org/officeDocument/2006/relationships/hyperlink" Target="https://docs.google.com/presentation/d/1CRsCTx_U68rD_06LO5GcZYUouAm_EfcLIwO_8XTXS68/edit?slide=id.g3a0722e8fad_0_6" TargetMode="External"/><Relationship Id="rId136" Type="http://schemas.openxmlformats.org/officeDocument/2006/relationships/hyperlink" Target="https://docs.google.com/presentation/d/1OI6CBo_IDA8ewS8zf5sRY-r8Lh0LLTmU4aolMFgALno/edit?slide=id.g3699a812f5d_0_225" TargetMode="External"/><Relationship Id="rId61" Type="http://schemas.openxmlformats.org/officeDocument/2006/relationships/hyperlink" Target="https://docs.google.com/presentation/d/1th12Mzai4Rll_MvYPfqY3d1g3AQr4RrPUw6KmgcVmJI/edit?slide=id.p" TargetMode="External"/><Relationship Id="rId82" Type="http://schemas.openxmlformats.org/officeDocument/2006/relationships/hyperlink" Target="https://docs.google.com/presentation/d/1b1sKDTrjLKAsG9lFOd3v8OnXWqaaWPMoX5sUIPV8MsM/edit?slide=id.g388a6696662_0_1" TargetMode="External"/><Relationship Id="rId19" Type="http://schemas.openxmlformats.org/officeDocument/2006/relationships/hyperlink" Target="https://docs.google.com/presentation/d/12VMAs0hXsHsHhlMKPiBWj8be8zqzfoW6CeKZoLNma-4/edit?slide=id.g36c7cfaf23a_0_49" TargetMode="External"/><Relationship Id="rId14" Type="http://schemas.openxmlformats.org/officeDocument/2006/relationships/hyperlink" Target="https://docs.google.com/presentation/d/1we7dObwxW4ng5r0ppk60szJc971rrqvGAWmJliV-NNI/edit?slide=id.p" TargetMode="External"/><Relationship Id="rId30" Type="http://schemas.openxmlformats.org/officeDocument/2006/relationships/hyperlink" Target="https://docs.google.com/presentation/d/1U9JJIbGAYJW9D9mcqoEcDQdmh6qt0PYEzQHwf4NIw38/edit?slide=id.p" TargetMode="External"/><Relationship Id="rId35" Type="http://schemas.openxmlformats.org/officeDocument/2006/relationships/hyperlink" Target="https://docs.google.com/presentation/d/1gEaU_F5AYFKe0u6uI8n7_Txd15gC20_L_Krm3F51ZKM/edit?slide=id.g37120be9ba6_0_24" TargetMode="External"/><Relationship Id="rId56" Type="http://schemas.openxmlformats.org/officeDocument/2006/relationships/hyperlink" Target="https://docs.google.com/presentation/d/1Ts-xD6Hz3H5rtA7wCJptmU-_vjpDq5qvQTBkR4Srlso/edit?slide=id.g36b8edd811c_0_0" TargetMode="External"/><Relationship Id="rId77" Type="http://schemas.openxmlformats.org/officeDocument/2006/relationships/hyperlink" Target="https://docs.google.com/presentation/d/1SthMdmn61zxywg6px1WAVhwPR0ksMRyyQj2PTMee2pE/edit?slide=id.p" TargetMode="External"/><Relationship Id="rId100" Type="http://schemas.openxmlformats.org/officeDocument/2006/relationships/hyperlink" Target="https://docs.google.com/presentation/d/1yyc8piftoSmhsD7AhfjntfUciVeuWtOEN81C2SayRPY/edit?slide=id.p" TargetMode="External"/><Relationship Id="rId105" Type="http://schemas.openxmlformats.org/officeDocument/2006/relationships/hyperlink" Target="https://cad.onshape.com/documents/abd9e1def78ee1f04611b381/w/aa3c78818042456c1973deac/e/fd5ff467b68a5faf6181e0d3?renderMode=0&amp;uiState=68e50541ba24e42649c33b6b" TargetMode="External"/><Relationship Id="rId126" Type="http://schemas.openxmlformats.org/officeDocument/2006/relationships/hyperlink" Target="https://docs.google.com/presentation/d/11xL1VEfBrLJYwexZoLreP_QlSzPLulNs5CsWzdPi9Ys/edit?slide=id.p" TargetMode="External"/><Relationship Id="rId8" Type="http://schemas.openxmlformats.org/officeDocument/2006/relationships/hyperlink" Target="https://cad.onshape.com/documents/48d30745c607a430c2e5c73c/w/7d9938639c4370dcff361e2f/e/34fa6acb1c1a523f0583fea0" TargetMode="External"/><Relationship Id="rId51" Type="http://schemas.openxmlformats.org/officeDocument/2006/relationships/hyperlink" Target="https://docs.google.com/presentation/d/1rg05UOdrg-fuPY7iIMxn0O9w6yk6bLLf51t2FzpbYGA/edit?slide=id.p" TargetMode="External"/><Relationship Id="rId72" Type="http://schemas.openxmlformats.org/officeDocument/2006/relationships/hyperlink" Target="https://docs.google.com/presentation/d/14Jf_MnahDp-gaKlXTNC9g31dH6vhUgqYiqrAG3th1jA/edit?slide=id.p" TargetMode="External"/><Relationship Id="rId93" Type="http://schemas.openxmlformats.org/officeDocument/2006/relationships/hyperlink" Target="https://docs.google.com/presentation/d/1Hlf7-mAN4mZW2GZh9kNtpjOpUHAg3rRyIsM8ZxIxPOQ/edit?slide=id.p" TargetMode="External"/><Relationship Id="rId98" Type="http://schemas.openxmlformats.org/officeDocument/2006/relationships/hyperlink" Target="https://docs.google.com/presentation/d/17NcYXnRar_yCrlx9XkX_hOAVA9ZLJQwDlGJW1oHlsvk/edit?slide=id.p" TargetMode="External"/><Relationship Id="rId121" Type="http://schemas.openxmlformats.org/officeDocument/2006/relationships/hyperlink" Target="https://cad.onshape.com/documents/f36853e8bf2f733475f83b62/w/1a0e7277cb865014b28a0c5c/e/af53d5bafdb86ad101fcf39c?renderMode=0&amp;uiState=69216716f8b8d17732d28fde" TargetMode="External"/><Relationship Id="rId142" Type="http://schemas.openxmlformats.org/officeDocument/2006/relationships/hyperlink" Target="https://docs.google.com/presentation/d/1LgpXNRoGJQ28GPWeBqy4iXQ2rg5evlk2xL5wEnuHrx0/edit?slide=id.g3a0722e8fad_0_6" TargetMode="External"/><Relationship Id="rId3" Type="http://schemas.openxmlformats.org/officeDocument/2006/relationships/hyperlink" Target="https://docs.google.com/presentation/d/1OI6CBo_IDA8ewS8zf5sRY-r8Lh0LLTmU4aolMFgALno/edit?slide=id.p" TargetMode="External"/><Relationship Id="rId25" Type="http://schemas.openxmlformats.org/officeDocument/2006/relationships/hyperlink" Target="https://cad.onshape.com/documents/8e7ad31487752209c5cc228e/w/8427532e7bda6b24965e63cb/e/3bee9e01f5b2c1c3b4788a88?renderMode=0&amp;uiState=6874f420c9f63a22db8ba207" TargetMode="External"/><Relationship Id="rId46" Type="http://schemas.openxmlformats.org/officeDocument/2006/relationships/hyperlink" Target="https://docs.google.com/presentation/d/1WzD9FuRkxuwtYM9iYdlTAClL_Wv1rENAbVs8mlGVjVw/edit?slide=id.g3721408f654_0_5" TargetMode="External"/><Relationship Id="rId67" Type="http://schemas.openxmlformats.org/officeDocument/2006/relationships/hyperlink" Target="https://docs.google.com/presentation/d/1_gBup2RWrTLtwVsd_VHvxjbBR4kcy8Vnb4t4j1J3mRw/edit?slide=id.p" TargetMode="External"/><Relationship Id="rId116" Type="http://schemas.openxmlformats.org/officeDocument/2006/relationships/hyperlink" Target="https://docs.google.com/presentation/d/1CRsCTx_U68rD_06LO5GcZYUouAm_EfcLIwO_8XTXS68/edit?slide=id.g3a0722e8fad_0_6" TargetMode="External"/><Relationship Id="rId137" Type="http://schemas.openxmlformats.org/officeDocument/2006/relationships/hyperlink" Target="https://cad.onshape.com/documents/d89e17454091d3d2f5d2f36f/w/552036195a73e71044a5638e/e/9c21922392068ca82267ed17?renderMode=0&amp;uiState=69414e87da6d9a183847a63d" TargetMode="External"/><Relationship Id="rId20" Type="http://schemas.openxmlformats.org/officeDocument/2006/relationships/hyperlink" Target="https://docs.google.com/document/d/1_06_vxiMpalRteC8oJhYuVpYo5nu6xRCxirZbz5lU68/edit?tab=t.0" TargetMode="External"/><Relationship Id="rId41" Type="http://schemas.openxmlformats.org/officeDocument/2006/relationships/hyperlink" Target="https://docs.google.com/presentation/d/1WzD9FuRkxuwtYM9iYdlTAClL_Wv1rENAbVs8mlGVjVw/edit?slide=id.p" TargetMode="External"/><Relationship Id="rId62" Type="http://schemas.openxmlformats.org/officeDocument/2006/relationships/hyperlink" Target="https://docs.google.com/presentation/d/13N_VIn4oys9YVGkM2F-ZEzZYbjK2bxmL_iR6aSzw8O4/edit?slide=id.p" TargetMode="External"/><Relationship Id="rId83" Type="http://schemas.openxmlformats.org/officeDocument/2006/relationships/hyperlink" Target="https://docs.google.com/presentation/d/1t-RM6HzGy71etxVqRU0OgFFEnRQ0T2vt3ZZS4NbddTY/edit?slide=id.p" TargetMode="External"/><Relationship Id="rId88" Type="http://schemas.openxmlformats.org/officeDocument/2006/relationships/hyperlink" Target="https://docs.google.com/presentation/d/1mQfqKUlYow3j6mz75E9d0Lz3qXKk84LEbvqVSYWHuUU/edit?slide=id.p" TargetMode="External"/><Relationship Id="rId111" Type="http://schemas.openxmlformats.org/officeDocument/2006/relationships/hyperlink" Target="https://docs.google.com/presentation/d/1Hlf7-mAN4mZW2GZh9kNtpjOpUHAg3rRyIsM8ZxIxPOQ/edit?slide=id.p" TargetMode="External"/><Relationship Id="rId132" Type="http://schemas.openxmlformats.org/officeDocument/2006/relationships/hyperlink" Target="https://docs.google.com/presentation/d/1b9kH4x1OPu8_Z0D5l_uMVaoUBIsj7y4DVrmFTsu247E/edit?slide=id.p" TargetMode="External"/><Relationship Id="rId15" Type="http://schemas.openxmlformats.org/officeDocument/2006/relationships/hyperlink" Target="https://docs.google.com/presentation/d/1xC6QOligLxKJg1NiqOt63y6rgXPl5Nm6-cRdra0RAbk/edit?slide=id.p" TargetMode="External"/><Relationship Id="rId36" Type="http://schemas.openxmlformats.org/officeDocument/2006/relationships/hyperlink" Target="https://docs.google.com/presentation/d/15yxObcGYc_pHPwzgOZg48Cx3zIlpjBc3v4ZQb7NELdQ/edit?slide=id.p" TargetMode="External"/><Relationship Id="rId57" Type="http://schemas.openxmlformats.org/officeDocument/2006/relationships/hyperlink" Target="https://cad.onshape.com/documents/ce19b3cfb91eba0fe553a610/w/ed17792120c56a2dadd0f920/e/54dba0c0dcdb6434e98cb979?renderMode=0&amp;uiState=689731f89112844855f16617" TargetMode="External"/><Relationship Id="rId106" Type="http://schemas.openxmlformats.org/officeDocument/2006/relationships/hyperlink" Target="https://docs.google.com/presentation/d/10cPUEGQpKk_IL9Czz01i03VT6I-Q7Z26ONyFTo25Zls/edit?slide=id.p" TargetMode="External"/><Relationship Id="rId127" Type="http://schemas.openxmlformats.org/officeDocument/2006/relationships/hyperlink" Target="https://docs.google.com/presentation/d/1IiV2YNbF9VnTe0eiFvgXM5QFZTd6lYb5t8lqWnjBHF4/edit?slide=id.p" TargetMode="External"/><Relationship Id="rId10" Type="http://schemas.openxmlformats.org/officeDocument/2006/relationships/hyperlink" Target="https://docs.google.com/presentation/d/1Ts-xD6Hz3H5rtA7wCJptmU-_vjpDq5qvQTBkR4Srlso/edit?slide=id.p" TargetMode="External"/><Relationship Id="rId31" Type="http://schemas.openxmlformats.org/officeDocument/2006/relationships/hyperlink" Target="https://docs.google.com/presentation/d/1mdLwkibwltw28IgQ1fRIZutMXrAUOHY1hZZkm9g1XYA/edit?slide=id.g36f64ccf516_0_9" TargetMode="External"/><Relationship Id="rId52" Type="http://schemas.openxmlformats.org/officeDocument/2006/relationships/hyperlink" Target="https://docs.google.com/presentation/d/1VMBpEm45ZZleQc8J__zeUhSAgOWxVY9DV5wtxTc_6Ak/edit?slide=id.p" TargetMode="External"/><Relationship Id="rId73" Type="http://schemas.openxmlformats.org/officeDocument/2006/relationships/hyperlink" Target="https://docs.google.com/presentation/d/1_oMpjbktz4_3TWD2bqqU7FFLw3n-IljtxeRwgXPwT3E/edit?slide=id.p" TargetMode="External"/><Relationship Id="rId78" Type="http://schemas.openxmlformats.org/officeDocument/2006/relationships/hyperlink" Target="https://docs.google.com/presentation/d/14Jf_MnahDp-gaKlXTNC9g31dH6vhUgqYiqrAG3th1jA/edit?slide=id.p" TargetMode="External"/><Relationship Id="rId94" Type="http://schemas.openxmlformats.org/officeDocument/2006/relationships/hyperlink" Target="https://docs.google.com/presentation/d/1_oMpjbktz4_3TWD2bqqU7FFLw3n-IljtxeRwgXPwT3E/edit?slide=id.p" TargetMode="External"/><Relationship Id="rId99" Type="http://schemas.openxmlformats.org/officeDocument/2006/relationships/hyperlink" Target="https://docs.google.com/presentation/d/17NcYXnRar_yCrlx9XkX_hOAVA9ZLJQwDlGJW1oHlsvk/edit?slide=id.p" TargetMode="External"/><Relationship Id="rId101" Type="http://schemas.openxmlformats.org/officeDocument/2006/relationships/hyperlink" Target="https://docs.google.com/presentation/d/1Hlf7-mAN4mZW2GZh9kNtpjOpUHAg3rRyIsM8ZxIxPOQ/edit?slide=id.p" TargetMode="External"/><Relationship Id="rId122" Type="http://schemas.openxmlformats.org/officeDocument/2006/relationships/hyperlink" Target="https://docs.google.com/presentation/d/13x0xIY83rf2T6brP24Lc9uBCpiGUtdolyymvDmGViPI/edit?slide=id.p" TargetMode="External"/><Relationship Id="rId4" Type="http://schemas.openxmlformats.org/officeDocument/2006/relationships/hyperlink" Target="https://docs.google.com/presentation/d/1OI6CBo_IDA8ewS8zf5sRY-r8Lh0LLTmU4aolMFgALno/edit?slide=id.g3699a812f5d_0_5" TargetMode="External"/><Relationship Id="rId9" Type="http://schemas.openxmlformats.org/officeDocument/2006/relationships/hyperlink" Target="https://docs.google.com/presentation/d/1OI6CBo_IDA8ewS8zf5sRY-r8Lh0LLTmU4aolMFgALno/edit?slide=id.g3699a812f5d_0_225" TargetMode="External"/><Relationship Id="rId26" Type="http://schemas.openxmlformats.org/officeDocument/2006/relationships/hyperlink" Target="https://docs.google.com/document/d/1_06_vxiMpalRteC8oJhYuVpYo5nu6xRCxirZbz5lU68/edit?tab=t.0" TargetMode="External"/><Relationship Id="rId47" Type="http://schemas.openxmlformats.org/officeDocument/2006/relationships/hyperlink" Target="https://docs.google.com/presentation/d/1fPwsSRa5joCuN9eKDeBz5jOg8IoA8sfPmW5Yb8LTcMc/edit?slide=id.p" TargetMode="External"/><Relationship Id="rId68" Type="http://schemas.openxmlformats.org/officeDocument/2006/relationships/hyperlink" Target="https://docs.google.com/presentation/d/1Sq-4zeMRrPqkRlVSPJeWUtWmslbkXhxHUbDlSUeQfpo/edit?slide=id.p" TargetMode="External"/><Relationship Id="rId89" Type="http://schemas.openxmlformats.org/officeDocument/2006/relationships/hyperlink" Target="https://docs.google.com/presentation/d/1mQfqKUlYow3j6mz75E9d0Lz3qXKk84LEbvqVSYWHuUU/edit?slide=id.p" TargetMode="External"/><Relationship Id="rId112" Type="http://schemas.openxmlformats.org/officeDocument/2006/relationships/hyperlink" Target="https://cad.onshape.com/documents/b948bb5616f241195e268e84/w/331981d38b3f5d48fddcc327/e/3e210990f598f8ae18fbb02e?renderMode=0&amp;uiState=68f0d7708a40ca1ad0ddf5b4" TargetMode="External"/><Relationship Id="rId133" Type="http://schemas.openxmlformats.org/officeDocument/2006/relationships/hyperlink" Target="https://docs.google.com/presentation/d/1b9kH4x1OPu8_Z0D5l_uMVaoUBIsj7y4DVrmFTsu247E/edit?slide=id.p" TargetMode="External"/><Relationship Id="rId16" Type="http://schemas.openxmlformats.org/officeDocument/2006/relationships/hyperlink" Target="https://docs.google.com/presentation/d/1we7dObwxW4ng5r0ppk60szJc971rrqvGAWmJliV-NNI/edit?slide=id.g36a00600d67_0_0" TargetMode="Externa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7.xml.rels><?xml version="1.0" encoding="UTF-8" standalone="yes"?>
<Relationships xmlns="http://schemas.openxmlformats.org/package/2006/relationships"><Relationship Id="rId2" Type="http://schemas.openxmlformats.org/officeDocument/2006/relationships/hyperlink" Target="https://mahendranw-my.sharepoint.com/:x:/g/personal/ignesh_rathinavelu_mnw_co_in/IQBWkr2W2Q23SrT7PelJNEVOAcHSW0MUrg_w-_bL5HS9jts?e=0SQIKl" TargetMode="External"/><Relationship Id="rId1" Type="http://schemas.openxmlformats.org/officeDocument/2006/relationships/hyperlink" Target="https://docs.google.com/presentation/d/1LgpXNRoGJQ28GPWeBqy4iXQ2rg5evlk2xL5wEnuHrx0/edit?slide=id.g3a0722e8fad_0_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5"/>
  <sheetViews>
    <sheetView workbookViewId="0">
      <pane ySplit="1" topLeftCell="A333" activePane="bottomLeft" state="frozen"/>
      <selection pane="bottomLeft" activeCell="D374" sqref="D374"/>
    </sheetView>
  </sheetViews>
  <sheetFormatPr defaultRowHeight="14.25" customHeight="1"/>
  <cols>
    <col min="1" max="1" width="7.7109375" style="13" customWidth="1"/>
    <col min="2" max="2" width="6.5703125" style="114" customWidth="1"/>
    <col min="3" max="3" width="16" style="78" customWidth="1"/>
    <col min="4" max="4" width="20.42578125" style="13" customWidth="1"/>
    <col min="5" max="5" width="15" style="13" customWidth="1"/>
    <col min="6" max="6" width="25.5703125" style="101" customWidth="1"/>
    <col min="7" max="7" width="43.7109375" style="13" customWidth="1"/>
    <col min="8" max="8" width="17.5703125" style="13" customWidth="1"/>
    <col min="9" max="9" width="66.28515625" style="48" customWidth="1"/>
    <col min="10" max="10" width="18.42578125" style="13" customWidth="1"/>
    <col min="11" max="14" width="13" style="13" customWidth="1"/>
    <col min="15" max="16384" width="9.140625" style="13"/>
  </cols>
  <sheetData>
    <row r="1" spans="2:13" ht="15">
      <c r="B1" s="109" t="s">
        <v>0</v>
      </c>
      <c r="C1" s="116" t="s">
        <v>1</v>
      </c>
      <c r="D1" s="110" t="s">
        <v>2</v>
      </c>
      <c r="E1" s="110" t="s">
        <v>3</v>
      </c>
      <c r="F1" s="110" t="s">
        <v>4</v>
      </c>
      <c r="G1" s="110" t="s">
        <v>5</v>
      </c>
      <c r="H1" s="110" t="s">
        <v>6</v>
      </c>
      <c r="I1" s="111" t="s">
        <v>7</v>
      </c>
      <c r="J1" s="111" t="s">
        <v>8</v>
      </c>
    </row>
    <row r="2" spans="2:13">
      <c r="B2" s="286">
        <v>1</v>
      </c>
      <c r="C2" s="306">
        <v>45663</v>
      </c>
      <c r="D2" s="288" t="s">
        <v>9</v>
      </c>
      <c r="E2" s="288" t="s">
        <v>10</v>
      </c>
      <c r="F2" s="303" t="s">
        <v>11</v>
      </c>
      <c r="G2" s="1" t="s">
        <v>12</v>
      </c>
      <c r="H2" s="288" t="s">
        <v>13</v>
      </c>
      <c r="I2" s="297" t="s">
        <v>14</v>
      </c>
      <c r="J2" s="296" t="s">
        <v>15</v>
      </c>
    </row>
    <row r="3" spans="2:13">
      <c r="B3" s="286"/>
      <c r="C3" s="306"/>
      <c r="D3" s="288"/>
      <c r="E3" s="288"/>
      <c r="F3" s="303"/>
      <c r="G3" s="1" t="s">
        <v>16</v>
      </c>
      <c r="H3" s="288"/>
      <c r="I3" s="297"/>
      <c r="J3" s="296"/>
    </row>
    <row r="4" spans="2:13">
      <c r="B4" s="286">
        <v>2</v>
      </c>
      <c r="C4" s="306">
        <v>45664</v>
      </c>
      <c r="D4" s="307" t="s">
        <v>9</v>
      </c>
      <c r="E4" s="307" t="s">
        <v>10</v>
      </c>
      <c r="F4" s="303" t="s">
        <v>11</v>
      </c>
      <c r="G4" s="1" t="s">
        <v>17</v>
      </c>
      <c r="H4" s="288" t="s">
        <v>13</v>
      </c>
      <c r="I4" s="297" t="s">
        <v>14</v>
      </c>
      <c r="J4" s="288" t="s">
        <v>15</v>
      </c>
      <c r="M4" s="13" t="s">
        <v>15</v>
      </c>
    </row>
    <row r="5" spans="2:13">
      <c r="B5" s="286"/>
      <c r="C5" s="306"/>
      <c r="D5" s="307"/>
      <c r="E5" s="307"/>
      <c r="F5" s="303"/>
      <c r="G5" s="1" t="s">
        <v>18</v>
      </c>
      <c r="H5" s="288"/>
      <c r="I5" s="297"/>
      <c r="J5" s="288"/>
      <c r="M5" s="13" t="s">
        <v>19</v>
      </c>
    </row>
    <row r="6" spans="2:13" ht="15" customHeight="1">
      <c r="B6" s="286">
        <v>3</v>
      </c>
      <c r="C6" s="306">
        <v>45665</v>
      </c>
      <c r="D6" s="288" t="s">
        <v>9</v>
      </c>
      <c r="E6" s="288" t="s">
        <v>10</v>
      </c>
      <c r="F6" s="303" t="s">
        <v>11</v>
      </c>
      <c r="G6" s="1" t="s">
        <v>20</v>
      </c>
      <c r="H6" s="288" t="s">
        <v>13</v>
      </c>
      <c r="I6" s="297" t="s">
        <v>14</v>
      </c>
      <c r="J6" s="288" t="s">
        <v>15</v>
      </c>
      <c r="M6" s="13" t="s">
        <v>11</v>
      </c>
    </row>
    <row r="7" spans="2:13" ht="124.5" customHeight="1">
      <c r="B7" s="286"/>
      <c r="C7" s="306"/>
      <c r="D7" s="288"/>
      <c r="E7" s="288"/>
      <c r="F7" s="303"/>
      <c r="G7" s="2" t="s">
        <v>21</v>
      </c>
      <c r="H7" s="288"/>
      <c r="I7" s="297"/>
      <c r="J7" s="288"/>
    </row>
    <row r="8" spans="2:13" ht="21" customHeight="1">
      <c r="B8" s="286">
        <v>4</v>
      </c>
      <c r="C8" s="306">
        <v>45666</v>
      </c>
      <c r="D8" s="307" t="s">
        <v>9</v>
      </c>
      <c r="E8" s="307" t="s">
        <v>10</v>
      </c>
      <c r="F8" s="303" t="s">
        <v>11</v>
      </c>
      <c r="G8" s="1" t="s">
        <v>20</v>
      </c>
      <c r="H8" s="288" t="s">
        <v>13</v>
      </c>
      <c r="I8" s="290" t="s">
        <v>11</v>
      </c>
      <c r="J8" s="288" t="s">
        <v>11</v>
      </c>
    </row>
    <row r="9" spans="2:13" ht="26.25" customHeight="1">
      <c r="B9" s="286"/>
      <c r="C9" s="306"/>
      <c r="D9" s="288"/>
      <c r="E9" s="288"/>
      <c r="F9" s="303"/>
      <c r="G9" s="2" t="s">
        <v>22</v>
      </c>
      <c r="H9" s="288"/>
      <c r="I9" s="290"/>
      <c r="J9" s="288"/>
    </row>
    <row r="10" spans="2:13">
      <c r="B10" s="286">
        <v>5</v>
      </c>
      <c r="C10" s="306">
        <v>45667</v>
      </c>
      <c r="D10" s="307" t="s">
        <v>9</v>
      </c>
      <c r="E10" s="307" t="s">
        <v>10</v>
      </c>
      <c r="F10" s="303" t="s">
        <v>11</v>
      </c>
      <c r="G10" s="288" t="s">
        <v>23</v>
      </c>
      <c r="H10" s="288" t="s">
        <v>13</v>
      </c>
      <c r="I10" s="290" t="s">
        <v>11</v>
      </c>
      <c r="J10" s="288" t="s">
        <v>19</v>
      </c>
    </row>
    <row r="11" spans="2:13">
      <c r="B11" s="286"/>
      <c r="C11" s="306"/>
      <c r="D11" s="288"/>
      <c r="E11" s="288"/>
      <c r="F11" s="303"/>
      <c r="G11" s="288"/>
      <c r="H11" s="288"/>
      <c r="I11" s="290"/>
      <c r="J11" s="288"/>
    </row>
    <row r="12" spans="2:13">
      <c r="B12" s="286">
        <v>6</v>
      </c>
      <c r="C12" s="306">
        <v>45670</v>
      </c>
      <c r="D12" s="290" t="s">
        <v>9</v>
      </c>
      <c r="E12" s="288" t="s">
        <v>10</v>
      </c>
      <c r="F12" s="303" t="s">
        <v>24</v>
      </c>
      <c r="G12" s="288" t="s">
        <v>25</v>
      </c>
      <c r="H12" s="288" t="s">
        <v>13</v>
      </c>
      <c r="I12" s="297" t="s">
        <v>14</v>
      </c>
      <c r="J12" s="288" t="s">
        <v>15</v>
      </c>
    </row>
    <row r="13" spans="2:13">
      <c r="B13" s="286"/>
      <c r="C13" s="306"/>
      <c r="D13" s="290"/>
      <c r="E13" s="288"/>
      <c r="F13" s="303"/>
      <c r="G13" s="288"/>
      <c r="H13" s="288"/>
      <c r="I13" s="297"/>
      <c r="J13" s="288"/>
    </row>
    <row r="14" spans="2:13">
      <c r="B14" s="286">
        <v>7</v>
      </c>
      <c r="C14" s="306">
        <v>45673</v>
      </c>
      <c r="D14" s="290" t="s">
        <v>9</v>
      </c>
      <c r="E14" s="288" t="s">
        <v>10</v>
      </c>
      <c r="F14" s="303" t="s">
        <v>26</v>
      </c>
      <c r="G14" s="290" t="s">
        <v>27</v>
      </c>
      <c r="H14" s="288" t="s">
        <v>13</v>
      </c>
      <c r="I14" s="297" t="s">
        <v>14</v>
      </c>
      <c r="J14" s="288" t="s">
        <v>15</v>
      </c>
    </row>
    <row r="15" spans="2:13">
      <c r="B15" s="286"/>
      <c r="C15" s="306"/>
      <c r="D15" s="290"/>
      <c r="E15" s="288"/>
      <c r="F15" s="303"/>
      <c r="G15" s="290"/>
      <c r="H15" s="288"/>
      <c r="I15" s="297"/>
      <c r="J15" s="288"/>
    </row>
    <row r="16" spans="2:13" ht="15" customHeight="1">
      <c r="B16" s="286">
        <v>8</v>
      </c>
      <c r="C16" s="287">
        <v>45674</v>
      </c>
      <c r="D16" s="288" t="s">
        <v>9</v>
      </c>
      <c r="E16" s="288" t="s">
        <v>10</v>
      </c>
      <c r="F16" s="303" t="s">
        <v>28</v>
      </c>
      <c r="G16" s="290" t="s">
        <v>29</v>
      </c>
      <c r="H16" s="288" t="s">
        <v>13</v>
      </c>
      <c r="I16" s="297" t="s">
        <v>14</v>
      </c>
      <c r="J16" s="288" t="s">
        <v>15</v>
      </c>
    </row>
    <row r="17" spans="2:10">
      <c r="B17" s="286"/>
      <c r="C17" s="287"/>
      <c r="D17" s="288"/>
      <c r="E17" s="288"/>
      <c r="F17" s="303"/>
      <c r="G17" s="290"/>
      <c r="H17" s="288"/>
      <c r="I17" s="297"/>
      <c r="J17" s="288"/>
    </row>
    <row r="18" spans="2:10">
      <c r="B18" s="286"/>
      <c r="C18" s="287"/>
      <c r="D18" s="288"/>
      <c r="E18" s="288"/>
      <c r="F18" s="303"/>
      <c r="G18" s="290"/>
      <c r="H18" s="288"/>
      <c r="I18" s="297"/>
      <c r="J18" s="288"/>
    </row>
    <row r="19" spans="2:10">
      <c r="B19" s="286">
        <v>9</v>
      </c>
      <c r="C19" s="287">
        <v>45675</v>
      </c>
      <c r="D19" s="288" t="s">
        <v>9</v>
      </c>
      <c r="E19" s="288" t="s">
        <v>10</v>
      </c>
      <c r="F19" s="303" t="s">
        <v>28</v>
      </c>
      <c r="G19" s="290" t="s">
        <v>29</v>
      </c>
      <c r="H19" s="288" t="s">
        <v>13</v>
      </c>
      <c r="I19" s="297" t="s">
        <v>14</v>
      </c>
      <c r="J19" s="288" t="s">
        <v>15</v>
      </c>
    </row>
    <row r="20" spans="2:10">
      <c r="B20" s="286"/>
      <c r="C20" s="287"/>
      <c r="D20" s="288"/>
      <c r="E20" s="288"/>
      <c r="F20" s="303"/>
      <c r="G20" s="290"/>
      <c r="H20" s="288"/>
      <c r="I20" s="297"/>
      <c r="J20" s="288"/>
    </row>
    <row r="21" spans="2:10">
      <c r="B21" s="286"/>
      <c r="C21" s="287"/>
      <c r="D21" s="288"/>
      <c r="E21" s="288"/>
      <c r="F21" s="303"/>
      <c r="G21" s="290"/>
      <c r="H21" s="288"/>
      <c r="I21" s="297"/>
      <c r="J21" s="288"/>
    </row>
    <row r="22" spans="2:10" ht="15" customHeight="1">
      <c r="B22" s="286">
        <v>10</v>
      </c>
      <c r="C22" s="287">
        <v>45677</v>
      </c>
      <c r="D22" s="288" t="s">
        <v>9</v>
      </c>
      <c r="E22" s="288" t="s">
        <v>10</v>
      </c>
      <c r="F22" s="303" t="s">
        <v>30</v>
      </c>
      <c r="G22" s="290" t="s">
        <v>31</v>
      </c>
      <c r="H22" s="288" t="s">
        <v>13</v>
      </c>
      <c r="I22" s="297" t="s">
        <v>14</v>
      </c>
      <c r="J22" s="288" t="s">
        <v>15</v>
      </c>
    </row>
    <row r="23" spans="2:10">
      <c r="B23" s="286"/>
      <c r="C23" s="287"/>
      <c r="D23" s="288"/>
      <c r="E23" s="288"/>
      <c r="F23" s="303"/>
      <c r="G23" s="290"/>
      <c r="H23" s="288"/>
      <c r="I23" s="297"/>
      <c r="J23" s="288"/>
    </row>
    <row r="24" spans="2:10">
      <c r="B24" s="286"/>
      <c r="C24" s="287"/>
      <c r="D24" s="288"/>
      <c r="E24" s="288"/>
      <c r="F24" s="303"/>
      <c r="G24" s="290"/>
      <c r="H24" s="288"/>
      <c r="I24" s="297"/>
      <c r="J24" s="288"/>
    </row>
    <row r="25" spans="2:10">
      <c r="B25" s="286">
        <v>11</v>
      </c>
      <c r="C25" s="287">
        <v>45678</v>
      </c>
      <c r="D25" s="288" t="s">
        <v>9</v>
      </c>
      <c r="E25" s="288" t="s">
        <v>10</v>
      </c>
      <c r="F25" s="303" t="s">
        <v>24</v>
      </c>
      <c r="G25" s="290" t="s">
        <v>32</v>
      </c>
      <c r="H25" s="288" t="s">
        <v>13</v>
      </c>
      <c r="I25" s="297" t="s">
        <v>14</v>
      </c>
      <c r="J25" s="288" t="s">
        <v>15</v>
      </c>
    </row>
    <row r="26" spans="2:10">
      <c r="B26" s="286"/>
      <c r="C26" s="287"/>
      <c r="D26" s="288"/>
      <c r="E26" s="288"/>
      <c r="F26" s="303"/>
      <c r="G26" s="290"/>
      <c r="H26" s="288"/>
      <c r="I26" s="297"/>
      <c r="J26" s="288"/>
    </row>
    <row r="27" spans="2:10">
      <c r="B27" s="286"/>
      <c r="C27" s="287"/>
      <c r="D27" s="288"/>
      <c r="E27" s="288"/>
      <c r="F27" s="303"/>
      <c r="G27" s="290"/>
      <c r="H27" s="288"/>
      <c r="I27" s="297"/>
      <c r="J27" s="288"/>
    </row>
    <row r="28" spans="2:10">
      <c r="B28" s="286">
        <v>12</v>
      </c>
      <c r="C28" s="287">
        <v>45680</v>
      </c>
      <c r="D28" s="288" t="s">
        <v>9</v>
      </c>
      <c r="E28" s="288" t="s">
        <v>10</v>
      </c>
      <c r="F28" s="303" t="s">
        <v>30</v>
      </c>
      <c r="G28" s="290" t="s">
        <v>33</v>
      </c>
      <c r="H28" s="288" t="s">
        <v>13</v>
      </c>
      <c r="I28" s="297" t="s">
        <v>14</v>
      </c>
      <c r="J28" s="288" t="s">
        <v>15</v>
      </c>
    </row>
    <row r="29" spans="2:10">
      <c r="B29" s="286"/>
      <c r="C29" s="287"/>
      <c r="D29" s="288"/>
      <c r="E29" s="288"/>
      <c r="F29" s="303"/>
      <c r="G29" s="290"/>
      <c r="H29" s="288"/>
      <c r="I29" s="297"/>
      <c r="J29" s="288"/>
    </row>
    <row r="30" spans="2:10">
      <c r="B30" s="286"/>
      <c r="C30" s="287"/>
      <c r="D30" s="288"/>
      <c r="E30" s="288"/>
      <c r="F30" s="303"/>
      <c r="G30" s="290"/>
      <c r="H30" s="288"/>
      <c r="I30" s="297"/>
      <c r="J30" s="288"/>
    </row>
    <row r="31" spans="2:10" ht="30.75" customHeight="1">
      <c r="B31" s="286">
        <v>13</v>
      </c>
      <c r="C31" s="287">
        <v>45681</v>
      </c>
      <c r="D31" s="288" t="s">
        <v>9</v>
      </c>
      <c r="E31" s="288" t="s">
        <v>10</v>
      </c>
      <c r="F31" s="303" t="s">
        <v>34</v>
      </c>
      <c r="G31" s="290" t="s">
        <v>33</v>
      </c>
      <c r="H31" s="288" t="s">
        <v>13</v>
      </c>
      <c r="I31" s="297" t="s">
        <v>14</v>
      </c>
      <c r="J31" s="288" t="s">
        <v>15</v>
      </c>
    </row>
    <row r="32" spans="2:10" ht="8.25" customHeight="1">
      <c r="B32" s="286"/>
      <c r="C32" s="287"/>
      <c r="D32" s="288"/>
      <c r="E32" s="288"/>
      <c r="F32" s="303"/>
      <c r="G32" s="290"/>
      <c r="H32" s="288"/>
      <c r="I32" s="297"/>
      <c r="J32" s="288"/>
    </row>
    <row r="33" spans="2:10" ht="9.75" customHeight="1">
      <c r="B33" s="286"/>
      <c r="C33" s="287"/>
      <c r="D33" s="288"/>
      <c r="E33" s="288"/>
      <c r="F33" s="303"/>
      <c r="G33" s="308" t="s">
        <v>35</v>
      </c>
      <c r="H33" s="288"/>
      <c r="I33" s="297"/>
      <c r="J33" s="288"/>
    </row>
    <row r="34" spans="2:10" ht="22.5" customHeight="1">
      <c r="B34" s="286"/>
      <c r="C34" s="287"/>
      <c r="D34" s="288"/>
      <c r="E34" s="288"/>
      <c r="F34" s="303"/>
      <c r="G34" s="308"/>
      <c r="H34" s="288"/>
      <c r="I34" s="297"/>
      <c r="J34" s="288"/>
    </row>
    <row r="35" spans="2:10">
      <c r="B35" s="286">
        <v>14</v>
      </c>
      <c r="C35" s="287">
        <v>45684</v>
      </c>
      <c r="D35" s="288" t="s">
        <v>9</v>
      </c>
      <c r="E35" s="288" t="s">
        <v>10</v>
      </c>
      <c r="F35" s="305" t="s">
        <v>36</v>
      </c>
      <c r="G35" s="290" t="s">
        <v>37</v>
      </c>
      <c r="H35" s="288" t="s">
        <v>13</v>
      </c>
      <c r="I35" s="297" t="s">
        <v>14</v>
      </c>
      <c r="J35" s="288" t="s">
        <v>15</v>
      </c>
    </row>
    <row r="36" spans="2:10" ht="31.5" customHeight="1">
      <c r="B36" s="286"/>
      <c r="C36" s="287"/>
      <c r="D36" s="288"/>
      <c r="E36" s="288"/>
      <c r="F36" s="303"/>
      <c r="G36" s="290"/>
      <c r="H36" s="288"/>
      <c r="I36" s="297"/>
      <c r="J36" s="288"/>
    </row>
    <row r="37" spans="2:10" ht="15" customHeight="1">
      <c r="B37" s="286">
        <v>15</v>
      </c>
      <c r="C37" s="287">
        <v>45685</v>
      </c>
      <c r="D37" s="288" t="s">
        <v>9</v>
      </c>
      <c r="E37" s="288" t="s">
        <v>10</v>
      </c>
      <c r="F37" s="305" t="s">
        <v>36</v>
      </c>
      <c r="G37" s="298" t="s">
        <v>38</v>
      </c>
      <c r="H37" s="288" t="s">
        <v>13</v>
      </c>
      <c r="I37" s="297" t="s">
        <v>14</v>
      </c>
      <c r="J37" s="288" t="s">
        <v>15</v>
      </c>
    </row>
    <row r="38" spans="2:10">
      <c r="B38" s="286"/>
      <c r="C38" s="287"/>
      <c r="D38" s="288"/>
      <c r="E38" s="288"/>
      <c r="F38" s="303"/>
      <c r="G38" s="298"/>
      <c r="H38" s="288"/>
      <c r="I38" s="297"/>
      <c r="J38" s="288"/>
    </row>
    <row r="39" spans="2:10">
      <c r="B39" s="286"/>
      <c r="C39" s="287"/>
      <c r="D39" s="288"/>
      <c r="E39" s="288"/>
      <c r="F39" s="303"/>
      <c r="G39" s="298"/>
      <c r="H39" s="288"/>
      <c r="I39" s="297"/>
      <c r="J39" s="288"/>
    </row>
    <row r="40" spans="2:10">
      <c r="B40" s="286"/>
      <c r="C40" s="287"/>
      <c r="D40" s="288"/>
      <c r="E40" s="288"/>
      <c r="F40" s="303"/>
      <c r="G40" s="298"/>
      <c r="H40" s="288"/>
      <c r="I40" s="297"/>
      <c r="J40" s="288"/>
    </row>
    <row r="41" spans="2:10">
      <c r="B41" s="286"/>
      <c r="C41" s="287"/>
      <c r="D41" s="288"/>
      <c r="E41" s="288"/>
      <c r="F41" s="303"/>
      <c r="G41" s="298"/>
      <c r="H41" s="288"/>
      <c r="I41" s="297"/>
      <c r="J41" s="288"/>
    </row>
    <row r="42" spans="2:10">
      <c r="B42" s="286"/>
      <c r="C42" s="287"/>
      <c r="D42" s="288"/>
      <c r="E42" s="288"/>
      <c r="F42" s="303"/>
      <c r="G42" s="298"/>
      <c r="H42" s="288"/>
      <c r="I42" s="297"/>
      <c r="J42" s="288"/>
    </row>
    <row r="43" spans="2:10">
      <c r="B43" s="286"/>
      <c r="C43" s="287"/>
      <c r="D43" s="288"/>
      <c r="E43" s="288"/>
      <c r="F43" s="303"/>
      <c r="G43" s="298"/>
      <c r="H43" s="288"/>
      <c r="I43" s="297"/>
      <c r="J43" s="288"/>
    </row>
    <row r="44" spans="2:10">
      <c r="B44" s="286">
        <v>16</v>
      </c>
      <c r="C44" s="287">
        <v>45686</v>
      </c>
      <c r="D44" s="288" t="s">
        <v>9</v>
      </c>
      <c r="E44" s="288" t="s">
        <v>10</v>
      </c>
      <c r="F44" s="305" t="s">
        <v>36</v>
      </c>
      <c r="G44" s="298" t="s">
        <v>39</v>
      </c>
      <c r="H44" s="288" t="s">
        <v>13</v>
      </c>
      <c r="I44" s="297" t="s">
        <v>14</v>
      </c>
      <c r="J44" s="288" t="s">
        <v>15</v>
      </c>
    </row>
    <row r="45" spans="2:10">
      <c r="B45" s="286"/>
      <c r="C45" s="287"/>
      <c r="D45" s="288"/>
      <c r="E45" s="288"/>
      <c r="F45" s="303"/>
      <c r="G45" s="298"/>
      <c r="H45" s="288"/>
      <c r="I45" s="297"/>
      <c r="J45" s="288"/>
    </row>
    <row r="46" spans="2:10">
      <c r="B46" s="286"/>
      <c r="C46" s="287"/>
      <c r="D46" s="288"/>
      <c r="E46" s="288"/>
      <c r="F46" s="303"/>
      <c r="G46" s="298"/>
      <c r="H46" s="288"/>
      <c r="I46" s="297"/>
      <c r="J46" s="288"/>
    </row>
    <row r="47" spans="2:10">
      <c r="B47" s="286"/>
      <c r="C47" s="287"/>
      <c r="D47" s="288"/>
      <c r="E47" s="288"/>
      <c r="F47" s="303"/>
      <c r="G47" s="298"/>
      <c r="H47" s="288"/>
      <c r="I47" s="297"/>
      <c r="J47" s="288"/>
    </row>
    <row r="48" spans="2:10">
      <c r="B48" s="286"/>
      <c r="C48" s="287"/>
      <c r="D48" s="288"/>
      <c r="E48" s="288"/>
      <c r="F48" s="303"/>
      <c r="G48" s="298"/>
      <c r="H48" s="288"/>
      <c r="I48" s="297"/>
      <c r="J48" s="288"/>
    </row>
    <row r="49" spans="2:13">
      <c r="B49" s="286"/>
      <c r="C49" s="287"/>
      <c r="D49" s="288"/>
      <c r="E49" s="288"/>
      <c r="F49" s="303"/>
      <c r="G49" s="298"/>
      <c r="H49" s="288"/>
      <c r="I49" s="297"/>
      <c r="J49" s="288"/>
    </row>
    <row r="50" spans="2:13">
      <c r="B50" s="286"/>
      <c r="C50" s="287"/>
      <c r="D50" s="288"/>
      <c r="E50" s="288"/>
      <c r="F50" s="303"/>
      <c r="G50" s="298"/>
      <c r="H50" s="288"/>
      <c r="I50" s="297"/>
      <c r="J50" s="288"/>
    </row>
    <row r="51" spans="2:13">
      <c r="B51" s="286">
        <v>17</v>
      </c>
      <c r="C51" s="287">
        <v>45687</v>
      </c>
      <c r="D51" s="288" t="s">
        <v>9</v>
      </c>
      <c r="E51" s="288" t="s">
        <v>10</v>
      </c>
      <c r="F51" s="305" t="s">
        <v>36</v>
      </c>
      <c r="G51" s="290" t="s">
        <v>40</v>
      </c>
      <c r="H51" s="288" t="s">
        <v>13</v>
      </c>
      <c r="I51" s="297" t="s">
        <v>14</v>
      </c>
      <c r="J51" s="288" t="s">
        <v>15</v>
      </c>
    </row>
    <row r="52" spans="2:13">
      <c r="B52" s="286"/>
      <c r="C52" s="287"/>
      <c r="D52" s="288"/>
      <c r="E52" s="288"/>
      <c r="F52" s="303"/>
      <c r="G52" s="290"/>
      <c r="H52" s="288"/>
      <c r="I52" s="297"/>
      <c r="J52" s="288"/>
    </row>
    <row r="53" spans="2:13">
      <c r="B53" s="286"/>
      <c r="C53" s="287"/>
      <c r="D53" s="288"/>
      <c r="E53" s="288"/>
      <c r="F53" s="303"/>
      <c r="G53" s="290"/>
      <c r="H53" s="288"/>
      <c r="I53" s="297"/>
      <c r="J53" s="288"/>
    </row>
    <row r="54" spans="2:13">
      <c r="B54" s="286"/>
      <c r="C54" s="287"/>
      <c r="D54" s="288"/>
      <c r="E54" s="288"/>
      <c r="F54" s="303"/>
      <c r="G54" s="290"/>
      <c r="H54" s="288"/>
      <c r="I54" s="297"/>
      <c r="J54" s="288"/>
    </row>
    <row r="55" spans="2:13">
      <c r="B55" s="286"/>
      <c r="C55" s="287"/>
      <c r="D55" s="288"/>
      <c r="E55" s="288"/>
      <c r="F55" s="303"/>
      <c r="G55" s="290"/>
      <c r="H55" s="288"/>
      <c r="I55" s="297"/>
      <c r="J55" s="288"/>
    </row>
    <row r="56" spans="2:13">
      <c r="B56" s="286"/>
      <c r="C56" s="287"/>
      <c r="D56" s="288"/>
      <c r="E56" s="288"/>
      <c r="F56" s="303"/>
      <c r="G56" s="290"/>
      <c r="H56" s="288"/>
      <c r="I56" s="297"/>
      <c r="J56" s="288"/>
    </row>
    <row r="57" spans="2:13">
      <c r="B57" s="286"/>
      <c r="C57" s="287"/>
      <c r="D57" s="288"/>
      <c r="E57" s="288"/>
      <c r="F57" s="303"/>
      <c r="G57" s="290"/>
      <c r="H57" s="288"/>
      <c r="I57" s="297"/>
      <c r="J57" s="288"/>
    </row>
    <row r="58" spans="2:13" ht="15" customHeight="1">
      <c r="B58" s="286">
        <v>18</v>
      </c>
      <c r="C58" s="287">
        <v>45688</v>
      </c>
      <c r="D58" s="288" t="s">
        <v>9</v>
      </c>
      <c r="E58" s="288" t="s">
        <v>10</v>
      </c>
      <c r="F58" s="305" t="s">
        <v>36</v>
      </c>
      <c r="G58" s="290" t="s">
        <v>41</v>
      </c>
      <c r="H58" s="288" t="s">
        <v>13</v>
      </c>
      <c r="I58" s="297" t="s">
        <v>14</v>
      </c>
      <c r="J58" s="288" t="s">
        <v>19</v>
      </c>
    </row>
    <row r="59" spans="2:13">
      <c r="B59" s="286"/>
      <c r="C59" s="287"/>
      <c r="D59" s="288"/>
      <c r="E59" s="288"/>
      <c r="F59" s="303"/>
      <c r="G59" s="290"/>
      <c r="H59" s="288"/>
      <c r="I59" s="297"/>
      <c r="J59" s="288"/>
    </row>
    <row r="60" spans="2:13">
      <c r="B60" s="286"/>
      <c r="C60" s="287"/>
      <c r="D60" s="288"/>
      <c r="E60" s="288"/>
      <c r="F60" s="303"/>
      <c r="G60" s="290"/>
      <c r="H60" s="288"/>
      <c r="I60" s="297"/>
      <c r="J60" s="288"/>
      <c r="M60" s="112"/>
    </row>
    <row r="61" spans="2:13">
      <c r="B61" s="286"/>
      <c r="C61" s="287"/>
      <c r="D61" s="288"/>
      <c r="E61" s="288"/>
      <c r="F61" s="303"/>
      <c r="G61" s="290"/>
      <c r="H61" s="288"/>
      <c r="I61" s="297"/>
      <c r="J61" s="288"/>
    </row>
    <row r="62" spans="2:13">
      <c r="B62" s="286"/>
      <c r="C62" s="287"/>
      <c r="D62" s="288"/>
      <c r="E62" s="288"/>
      <c r="F62" s="303"/>
      <c r="G62" s="290"/>
      <c r="H62" s="288"/>
      <c r="I62" s="297" t="s">
        <v>42</v>
      </c>
      <c r="J62" s="288"/>
    </row>
    <row r="63" spans="2:13">
      <c r="B63" s="286"/>
      <c r="C63" s="287"/>
      <c r="D63" s="288"/>
      <c r="E63" s="288"/>
      <c r="F63" s="303"/>
      <c r="G63" s="290"/>
      <c r="H63" s="288"/>
      <c r="I63" s="297"/>
      <c r="J63" s="288"/>
    </row>
    <row r="64" spans="2:13">
      <c r="B64" s="286"/>
      <c r="C64" s="287"/>
      <c r="D64" s="288"/>
      <c r="E64" s="288"/>
      <c r="F64" s="303"/>
      <c r="G64" s="290"/>
      <c r="H64" s="288"/>
      <c r="I64" s="297"/>
      <c r="J64" s="288"/>
    </row>
    <row r="65" spans="2:12" ht="15" customHeight="1">
      <c r="B65" s="286">
        <v>19</v>
      </c>
      <c r="C65" s="287">
        <v>45689</v>
      </c>
      <c r="D65" s="288" t="s">
        <v>9</v>
      </c>
      <c r="E65" s="288" t="s">
        <v>10</v>
      </c>
      <c r="F65" s="303" t="s">
        <v>30</v>
      </c>
      <c r="G65" s="290" t="s">
        <v>43</v>
      </c>
      <c r="H65" s="288" t="s">
        <v>13</v>
      </c>
      <c r="I65" s="297" t="s">
        <v>14</v>
      </c>
      <c r="J65" s="288" t="s">
        <v>19</v>
      </c>
    </row>
    <row r="66" spans="2:12">
      <c r="B66" s="286"/>
      <c r="C66" s="287"/>
      <c r="D66" s="288"/>
      <c r="E66" s="288"/>
      <c r="F66" s="303"/>
      <c r="G66" s="290"/>
      <c r="H66" s="288"/>
      <c r="I66" s="297"/>
      <c r="J66" s="288"/>
    </row>
    <row r="67" spans="2:12">
      <c r="B67" s="286"/>
      <c r="C67" s="287"/>
      <c r="D67" s="288"/>
      <c r="E67" s="288"/>
      <c r="F67" s="303"/>
      <c r="G67" s="290"/>
      <c r="H67" s="288"/>
      <c r="I67" s="297"/>
      <c r="J67" s="288"/>
    </row>
    <row r="68" spans="2:12">
      <c r="B68" s="286"/>
      <c r="C68" s="287"/>
      <c r="D68" s="288"/>
      <c r="E68" s="288"/>
      <c r="F68" s="303"/>
      <c r="G68" s="290"/>
      <c r="H68" s="288"/>
      <c r="I68" s="297"/>
      <c r="J68" s="288"/>
      <c r="L68" s="112"/>
    </row>
    <row r="69" spans="2:12">
      <c r="B69" s="286"/>
      <c r="C69" s="287"/>
      <c r="D69" s="288"/>
      <c r="E69" s="288"/>
      <c r="F69" s="303"/>
      <c r="G69" s="290"/>
      <c r="H69" s="288"/>
      <c r="I69" s="297" t="s">
        <v>44</v>
      </c>
      <c r="J69" s="288"/>
    </row>
    <row r="70" spans="2:12">
      <c r="B70" s="286"/>
      <c r="C70" s="287"/>
      <c r="D70" s="288"/>
      <c r="E70" s="288"/>
      <c r="F70" s="303"/>
      <c r="G70" s="290"/>
      <c r="H70" s="288"/>
      <c r="I70" s="297"/>
      <c r="J70" s="288"/>
    </row>
    <row r="71" spans="2:12">
      <c r="B71" s="286"/>
      <c r="C71" s="287"/>
      <c r="D71" s="288"/>
      <c r="E71" s="288"/>
      <c r="F71" s="303"/>
      <c r="G71" s="290"/>
      <c r="H71" s="288"/>
      <c r="I71" s="297"/>
      <c r="J71" s="288"/>
    </row>
    <row r="72" spans="2:12" ht="29.25" customHeight="1">
      <c r="B72" s="286">
        <v>20</v>
      </c>
      <c r="C72" s="287">
        <v>45691</v>
      </c>
      <c r="D72" s="288" t="s">
        <v>9</v>
      </c>
      <c r="E72" s="288" t="s">
        <v>10</v>
      </c>
      <c r="F72" s="304" t="s">
        <v>45</v>
      </c>
      <c r="G72" s="290" t="s">
        <v>46</v>
      </c>
      <c r="H72" s="288" t="s">
        <v>13</v>
      </c>
      <c r="I72" s="297" t="s">
        <v>14</v>
      </c>
      <c r="J72" s="288" t="s">
        <v>15</v>
      </c>
      <c r="L72" s="112"/>
    </row>
    <row r="73" spans="2:12">
      <c r="B73" s="286"/>
      <c r="C73" s="287"/>
      <c r="D73" s="288"/>
      <c r="E73" s="288"/>
      <c r="F73" s="304"/>
      <c r="G73" s="290"/>
      <c r="H73" s="288"/>
      <c r="I73" s="297"/>
      <c r="J73" s="288"/>
    </row>
    <row r="74" spans="2:12">
      <c r="B74" s="286"/>
      <c r="C74" s="287"/>
      <c r="D74" s="288"/>
      <c r="E74" s="288"/>
      <c r="F74" s="304"/>
      <c r="G74" s="290"/>
      <c r="H74" s="288"/>
      <c r="I74" s="297"/>
      <c r="J74" s="288"/>
    </row>
    <row r="75" spans="2:12">
      <c r="B75" s="286"/>
      <c r="C75" s="287"/>
      <c r="D75" s="288"/>
      <c r="E75" s="288"/>
      <c r="F75" s="304"/>
      <c r="G75" s="290"/>
      <c r="H75" s="288"/>
      <c r="I75" s="297" t="s">
        <v>47</v>
      </c>
      <c r="J75" s="288"/>
    </row>
    <row r="76" spans="2:12">
      <c r="B76" s="286"/>
      <c r="C76" s="287"/>
      <c r="D76" s="288"/>
      <c r="E76" s="288"/>
      <c r="F76" s="304"/>
      <c r="G76" s="290"/>
      <c r="H76" s="288"/>
      <c r="I76" s="297"/>
      <c r="J76" s="288"/>
    </row>
    <row r="77" spans="2:12">
      <c r="B77" s="286"/>
      <c r="C77" s="287"/>
      <c r="D77" s="288"/>
      <c r="E77" s="288"/>
      <c r="F77" s="304"/>
      <c r="G77" s="290"/>
      <c r="H77" s="288"/>
      <c r="I77" s="297"/>
      <c r="J77" s="288"/>
    </row>
    <row r="78" spans="2:12">
      <c r="B78" s="286"/>
      <c r="C78" s="287"/>
      <c r="D78" s="288"/>
      <c r="E78" s="288"/>
      <c r="F78" s="304"/>
      <c r="G78" s="290"/>
      <c r="H78" s="288"/>
      <c r="I78" s="297"/>
      <c r="J78" s="288"/>
    </row>
    <row r="79" spans="2:12" ht="15" customHeight="1">
      <c r="B79" s="286">
        <v>21</v>
      </c>
      <c r="C79" s="287">
        <v>45692</v>
      </c>
      <c r="D79" s="290" t="s">
        <v>9</v>
      </c>
      <c r="E79" s="290" t="s">
        <v>10</v>
      </c>
      <c r="F79" s="304" t="s">
        <v>45</v>
      </c>
      <c r="G79" s="290" t="s">
        <v>48</v>
      </c>
      <c r="H79" s="288" t="s">
        <v>13</v>
      </c>
      <c r="I79" s="297" t="s">
        <v>14</v>
      </c>
      <c r="J79" s="288" t="s">
        <v>15</v>
      </c>
    </row>
    <row r="80" spans="2:12" ht="15" customHeight="1">
      <c r="B80" s="286"/>
      <c r="C80" s="287"/>
      <c r="D80" s="290"/>
      <c r="E80" s="290"/>
      <c r="F80" s="304"/>
      <c r="G80" s="290"/>
      <c r="H80" s="288"/>
      <c r="I80" s="297"/>
      <c r="J80" s="288"/>
    </row>
    <row r="81" spans="2:12" ht="29.25" customHeight="1">
      <c r="B81" s="286"/>
      <c r="C81" s="287"/>
      <c r="D81" s="290"/>
      <c r="E81" s="290"/>
      <c r="F81" s="99" t="s">
        <v>49</v>
      </c>
      <c r="G81" s="290"/>
      <c r="H81" s="288"/>
      <c r="I81" s="297"/>
      <c r="J81" s="288"/>
    </row>
    <row r="82" spans="2:12" ht="15">
      <c r="B82" s="286"/>
      <c r="C82" s="287"/>
      <c r="D82" s="290"/>
      <c r="E82" s="290"/>
      <c r="F82" s="122" t="s">
        <v>50</v>
      </c>
      <c r="G82" s="290"/>
      <c r="H82" s="288"/>
      <c r="I82" s="297"/>
      <c r="J82" s="288"/>
    </row>
    <row r="83" spans="2:12" ht="44.25" customHeight="1">
      <c r="B83" s="286"/>
      <c r="C83" s="287"/>
      <c r="D83" s="290"/>
      <c r="E83" s="290"/>
      <c r="F83" s="99" t="s">
        <v>51</v>
      </c>
      <c r="G83" s="290"/>
      <c r="H83" s="288"/>
      <c r="I83" s="297" t="s">
        <v>52</v>
      </c>
      <c r="J83" s="288"/>
    </row>
    <row r="84" spans="2:12" ht="15" customHeight="1">
      <c r="B84" s="286"/>
      <c r="C84" s="287"/>
      <c r="D84" s="290"/>
      <c r="E84" s="290"/>
      <c r="F84" s="302" t="s">
        <v>53</v>
      </c>
      <c r="G84" s="290"/>
      <c r="H84" s="288"/>
      <c r="I84" s="297"/>
      <c r="J84" s="288"/>
      <c r="L84" s="48"/>
    </row>
    <row r="85" spans="2:12" ht="15" customHeight="1">
      <c r="B85" s="286"/>
      <c r="C85" s="287"/>
      <c r="D85" s="290"/>
      <c r="E85" s="290"/>
      <c r="F85" s="302"/>
      <c r="G85" s="290"/>
      <c r="H85" s="288"/>
      <c r="I85" s="297"/>
      <c r="J85" s="288"/>
      <c r="L85" s="49"/>
    </row>
    <row r="86" spans="2:12">
      <c r="B86" s="286"/>
      <c r="C86" s="287"/>
      <c r="D86" s="290"/>
      <c r="E86" s="290"/>
      <c r="F86" s="302"/>
      <c r="G86" s="290"/>
      <c r="H86" s="288"/>
      <c r="I86" s="297"/>
      <c r="J86" s="288"/>
      <c r="L86" s="48"/>
    </row>
    <row r="87" spans="2:12" ht="15" customHeight="1">
      <c r="B87" s="286">
        <v>22</v>
      </c>
      <c r="C87" s="287">
        <v>45693</v>
      </c>
      <c r="D87" s="290" t="s">
        <v>9</v>
      </c>
      <c r="E87" s="290" t="s">
        <v>10</v>
      </c>
      <c r="F87" s="304" t="s">
        <v>45</v>
      </c>
      <c r="G87" s="290" t="s">
        <v>54</v>
      </c>
      <c r="H87" s="288" t="s">
        <v>13</v>
      </c>
      <c r="I87" s="297" t="s">
        <v>14</v>
      </c>
      <c r="J87" s="288" t="s">
        <v>15</v>
      </c>
      <c r="L87" s="48"/>
    </row>
    <row r="88" spans="2:12">
      <c r="B88" s="286"/>
      <c r="C88" s="287"/>
      <c r="D88" s="290"/>
      <c r="E88" s="290"/>
      <c r="F88" s="304"/>
      <c r="G88" s="290"/>
      <c r="H88" s="288"/>
      <c r="I88" s="297"/>
      <c r="J88" s="288"/>
      <c r="L88" s="48"/>
    </row>
    <row r="89" spans="2:12">
      <c r="B89" s="286"/>
      <c r="C89" s="287"/>
      <c r="D89" s="290"/>
      <c r="E89" s="290"/>
      <c r="F89" s="302" t="s">
        <v>49</v>
      </c>
      <c r="G89" s="290"/>
      <c r="H89" s="288"/>
      <c r="I89" s="297"/>
      <c r="J89" s="288"/>
      <c r="L89" s="48"/>
    </row>
    <row r="90" spans="2:12">
      <c r="B90" s="286"/>
      <c r="C90" s="287"/>
      <c r="D90" s="290"/>
      <c r="E90" s="290"/>
      <c r="F90" s="302"/>
      <c r="G90" s="290"/>
      <c r="H90" s="288"/>
      <c r="I90" s="297"/>
      <c r="J90" s="288"/>
    </row>
    <row r="91" spans="2:12" ht="15" customHeight="1">
      <c r="B91" s="286"/>
      <c r="C91" s="287"/>
      <c r="D91" s="290"/>
      <c r="E91" s="290"/>
      <c r="F91" s="302" t="s">
        <v>50</v>
      </c>
      <c r="G91" s="290"/>
      <c r="H91" s="288"/>
      <c r="I91" s="297" t="s">
        <v>52</v>
      </c>
      <c r="J91" s="288"/>
    </row>
    <row r="92" spans="2:12">
      <c r="B92" s="286"/>
      <c r="C92" s="287"/>
      <c r="D92" s="290"/>
      <c r="E92" s="290"/>
      <c r="F92" s="302"/>
      <c r="G92" s="290"/>
      <c r="H92" s="288"/>
      <c r="I92" s="297"/>
      <c r="J92" s="288"/>
    </row>
    <row r="93" spans="2:12">
      <c r="B93" s="286"/>
      <c r="C93" s="287"/>
      <c r="D93" s="290"/>
      <c r="E93" s="290"/>
      <c r="F93" s="302" t="s">
        <v>51</v>
      </c>
      <c r="G93" s="290"/>
      <c r="H93" s="288"/>
      <c r="I93" s="297"/>
      <c r="J93" s="288"/>
    </row>
    <row r="94" spans="2:12">
      <c r="B94" s="286"/>
      <c r="C94" s="287"/>
      <c r="D94" s="290"/>
      <c r="E94" s="290"/>
      <c r="F94" s="302"/>
      <c r="G94" s="290"/>
      <c r="H94" s="288"/>
      <c r="I94" s="297"/>
      <c r="J94" s="288"/>
    </row>
    <row r="95" spans="2:12">
      <c r="B95" s="286"/>
      <c r="C95" s="287"/>
      <c r="D95" s="290"/>
      <c r="E95" s="290"/>
      <c r="F95" s="302" t="s">
        <v>53</v>
      </c>
      <c r="G95" s="290"/>
      <c r="H95" s="288"/>
      <c r="I95" s="297"/>
      <c r="J95" s="288"/>
    </row>
    <row r="96" spans="2:12">
      <c r="B96" s="286"/>
      <c r="C96" s="287"/>
      <c r="D96" s="290"/>
      <c r="E96" s="290"/>
      <c r="F96" s="302"/>
      <c r="G96" s="290"/>
      <c r="H96" s="288"/>
      <c r="I96" s="297"/>
      <c r="J96" s="288"/>
    </row>
    <row r="97" spans="2:10">
      <c r="B97" s="286">
        <v>23</v>
      </c>
      <c r="C97" s="287">
        <v>45694</v>
      </c>
      <c r="D97" s="290" t="s">
        <v>9</v>
      </c>
      <c r="E97" s="290" t="s">
        <v>10</v>
      </c>
      <c r="F97" s="304" t="s">
        <v>45</v>
      </c>
      <c r="G97" s="298" t="s">
        <v>55</v>
      </c>
      <c r="H97" s="288" t="s">
        <v>13</v>
      </c>
      <c r="I97" s="297" t="s">
        <v>14</v>
      </c>
      <c r="J97" s="288" t="s">
        <v>19</v>
      </c>
    </row>
    <row r="98" spans="2:10">
      <c r="B98" s="286"/>
      <c r="C98" s="287"/>
      <c r="D98" s="290"/>
      <c r="E98" s="290"/>
      <c r="F98" s="304"/>
      <c r="G98" s="290"/>
      <c r="H98" s="288"/>
      <c r="I98" s="297"/>
      <c r="J98" s="288"/>
    </row>
    <row r="99" spans="2:10">
      <c r="B99" s="286"/>
      <c r="C99" s="287"/>
      <c r="D99" s="290"/>
      <c r="E99" s="290"/>
      <c r="F99" s="302" t="s">
        <v>49</v>
      </c>
      <c r="G99" s="290"/>
      <c r="H99" s="288"/>
      <c r="I99" s="297"/>
      <c r="J99" s="288"/>
    </row>
    <row r="100" spans="2:10">
      <c r="B100" s="286"/>
      <c r="C100" s="287"/>
      <c r="D100" s="290"/>
      <c r="E100" s="290"/>
      <c r="F100" s="302"/>
      <c r="G100" s="290"/>
      <c r="H100" s="288"/>
      <c r="I100" s="297"/>
      <c r="J100" s="288"/>
    </row>
    <row r="101" spans="2:10">
      <c r="B101" s="286"/>
      <c r="C101" s="287"/>
      <c r="D101" s="290"/>
      <c r="E101" s="290"/>
      <c r="F101" s="302" t="s">
        <v>50</v>
      </c>
      <c r="G101" s="290"/>
      <c r="H101" s="288"/>
      <c r="I101" s="297" t="s">
        <v>56</v>
      </c>
      <c r="J101" s="288"/>
    </row>
    <row r="102" spans="2:10">
      <c r="B102" s="286"/>
      <c r="C102" s="287"/>
      <c r="D102" s="290"/>
      <c r="E102" s="290"/>
      <c r="F102" s="302"/>
      <c r="G102" s="290"/>
      <c r="H102" s="288"/>
      <c r="I102" s="297"/>
      <c r="J102" s="288"/>
    </row>
    <row r="103" spans="2:10">
      <c r="B103" s="286"/>
      <c r="C103" s="287"/>
      <c r="D103" s="290"/>
      <c r="E103" s="290"/>
      <c r="F103" s="302" t="s">
        <v>51</v>
      </c>
      <c r="G103" s="290"/>
      <c r="H103" s="288"/>
      <c r="I103" s="297"/>
      <c r="J103" s="288"/>
    </row>
    <row r="104" spans="2:10">
      <c r="B104" s="286"/>
      <c r="C104" s="287"/>
      <c r="D104" s="290"/>
      <c r="E104" s="290"/>
      <c r="F104" s="302"/>
      <c r="G104" s="290"/>
      <c r="H104" s="288"/>
      <c r="I104" s="297"/>
      <c r="J104" s="288"/>
    </row>
    <row r="105" spans="2:10">
      <c r="B105" s="286"/>
      <c r="C105" s="287"/>
      <c r="D105" s="290"/>
      <c r="E105" s="290"/>
      <c r="F105" s="302" t="s">
        <v>53</v>
      </c>
      <c r="G105" s="290"/>
      <c r="H105" s="288"/>
      <c r="I105" s="297"/>
      <c r="J105" s="288"/>
    </row>
    <row r="106" spans="2:10">
      <c r="B106" s="286"/>
      <c r="C106" s="287"/>
      <c r="D106" s="290"/>
      <c r="E106" s="290"/>
      <c r="F106" s="302"/>
      <c r="G106" s="290"/>
      <c r="H106" s="288"/>
      <c r="I106" s="297"/>
      <c r="J106" s="288"/>
    </row>
    <row r="107" spans="2:10" ht="15" customHeight="1">
      <c r="B107" s="286">
        <v>24</v>
      </c>
      <c r="C107" s="287">
        <v>45695</v>
      </c>
      <c r="D107" s="290" t="s">
        <v>9</v>
      </c>
      <c r="E107" s="290" t="s">
        <v>10</v>
      </c>
      <c r="F107" s="304" t="s">
        <v>57</v>
      </c>
      <c r="G107" s="298" t="s">
        <v>58</v>
      </c>
      <c r="H107" s="288" t="s">
        <v>13</v>
      </c>
      <c r="I107" s="297" t="s">
        <v>59</v>
      </c>
      <c r="J107" s="288" t="s">
        <v>11</v>
      </c>
    </row>
    <row r="108" spans="2:10" ht="42" customHeight="1">
      <c r="B108" s="286"/>
      <c r="C108" s="287"/>
      <c r="D108" s="290"/>
      <c r="E108" s="290"/>
      <c r="F108" s="304"/>
      <c r="G108" s="290"/>
      <c r="H108" s="288"/>
      <c r="I108" s="297"/>
      <c r="J108" s="288"/>
    </row>
    <row r="109" spans="2:10">
      <c r="B109" s="286">
        <v>25</v>
      </c>
      <c r="C109" s="287">
        <v>45696</v>
      </c>
      <c r="D109" s="290" t="s">
        <v>9</v>
      </c>
      <c r="E109" s="290" t="s">
        <v>10</v>
      </c>
      <c r="F109" s="304" t="s">
        <v>36</v>
      </c>
      <c r="G109" s="298" t="s">
        <v>60</v>
      </c>
      <c r="H109" s="288" t="s">
        <v>13</v>
      </c>
      <c r="I109" s="297" t="s">
        <v>14</v>
      </c>
      <c r="J109" s="288" t="s">
        <v>15</v>
      </c>
    </row>
    <row r="110" spans="2:10">
      <c r="B110" s="286"/>
      <c r="C110" s="287"/>
      <c r="D110" s="290"/>
      <c r="E110" s="290"/>
      <c r="F110" s="304"/>
      <c r="G110" s="290"/>
      <c r="H110" s="288"/>
      <c r="I110" s="297"/>
      <c r="J110" s="288"/>
    </row>
    <row r="111" spans="2:10">
      <c r="B111" s="286"/>
      <c r="C111" s="287"/>
      <c r="D111" s="290"/>
      <c r="E111" s="290"/>
      <c r="F111" s="304"/>
      <c r="G111" s="290"/>
      <c r="H111" s="288"/>
      <c r="I111" s="297"/>
      <c r="J111" s="288"/>
    </row>
    <row r="112" spans="2:10">
      <c r="B112" s="286"/>
      <c r="C112" s="287"/>
      <c r="D112" s="290"/>
      <c r="E112" s="290"/>
      <c r="F112" s="304"/>
      <c r="G112" s="290"/>
      <c r="H112" s="288"/>
      <c r="I112" s="297"/>
      <c r="J112" s="288"/>
    </row>
    <row r="113" spans="2:10" ht="15" customHeight="1">
      <c r="B113" s="286"/>
      <c r="C113" s="287"/>
      <c r="D113" s="290"/>
      <c r="E113" s="290"/>
      <c r="F113" s="304"/>
      <c r="G113" s="290"/>
      <c r="H113" s="288"/>
      <c r="I113" s="297" t="s">
        <v>42</v>
      </c>
      <c r="J113" s="288"/>
    </row>
    <row r="114" spans="2:10">
      <c r="B114" s="286"/>
      <c r="C114" s="287"/>
      <c r="D114" s="290"/>
      <c r="E114" s="290"/>
      <c r="F114" s="304"/>
      <c r="G114" s="290"/>
      <c r="H114" s="288"/>
      <c r="I114" s="297"/>
      <c r="J114" s="288"/>
    </row>
    <row r="115" spans="2:10">
      <c r="B115" s="286"/>
      <c r="C115" s="287"/>
      <c r="D115" s="290"/>
      <c r="E115" s="290"/>
      <c r="F115" s="304"/>
      <c r="G115" s="290"/>
      <c r="H115" s="288"/>
      <c r="I115" s="297"/>
      <c r="J115" s="288"/>
    </row>
    <row r="116" spans="2:10">
      <c r="B116" s="286"/>
      <c r="C116" s="287"/>
      <c r="D116" s="290"/>
      <c r="E116" s="290"/>
      <c r="F116" s="304"/>
      <c r="G116" s="290"/>
      <c r="H116" s="288"/>
      <c r="I116" s="297"/>
      <c r="J116" s="288"/>
    </row>
    <row r="117" spans="2:10">
      <c r="B117" s="286"/>
      <c r="C117" s="287"/>
      <c r="D117" s="290"/>
      <c r="E117" s="290"/>
      <c r="F117" s="304"/>
      <c r="G117" s="290"/>
      <c r="H117" s="288"/>
      <c r="I117" s="297"/>
      <c r="J117" s="288"/>
    </row>
    <row r="118" spans="2:10">
      <c r="B118" s="286"/>
      <c r="C118" s="287"/>
      <c r="D118" s="290"/>
      <c r="E118" s="290"/>
      <c r="F118" s="304"/>
      <c r="G118" s="290"/>
      <c r="H118" s="288"/>
      <c r="I118" s="297"/>
      <c r="J118" s="288"/>
    </row>
    <row r="119" spans="2:10">
      <c r="B119" s="286">
        <v>26</v>
      </c>
      <c r="C119" s="287">
        <v>45698</v>
      </c>
      <c r="D119" s="290" t="s">
        <v>9</v>
      </c>
      <c r="E119" s="290" t="s">
        <v>10</v>
      </c>
      <c r="F119" s="304" t="s">
        <v>36</v>
      </c>
      <c r="G119" s="298" t="s">
        <v>61</v>
      </c>
      <c r="H119" s="288" t="s">
        <v>13</v>
      </c>
      <c r="I119" s="297" t="s">
        <v>14</v>
      </c>
      <c r="J119" s="288" t="s">
        <v>19</v>
      </c>
    </row>
    <row r="120" spans="2:10">
      <c r="B120" s="286"/>
      <c r="C120" s="287"/>
      <c r="D120" s="290"/>
      <c r="E120" s="290"/>
      <c r="F120" s="304"/>
      <c r="G120" s="290"/>
      <c r="H120" s="288"/>
      <c r="I120" s="297"/>
      <c r="J120" s="288"/>
    </row>
    <row r="121" spans="2:10">
      <c r="B121" s="286"/>
      <c r="C121" s="287"/>
      <c r="D121" s="290"/>
      <c r="E121" s="290"/>
      <c r="F121" s="304"/>
      <c r="G121" s="290"/>
      <c r="H121" s="288"/>
      <c r="I121" s="297"/>
      <c r="J121" s="288"/>
    </row>
    <row r="122" spans="2:10">
      <c r="B122" s="286"/>
      <c r="C122" s="287"/>
      <c r="D122" s="290"/>
      <c r="E122" s="290"/>
      <c r="F122" s="304"/>
      <c r="G122" s="290"/>
      <c r="H122" s="288"/>
      <c r="I122" s="297"/>
      <c r="J122" s="288"/>
    </row>
    <row r="123" spans="2:10">
      <c r="B123" s="286"/>
      <c r="C123" s="287"/>
      <c r="D123" s="290"/>
      <c r="E123" s="290"/>
      <c r="F123" s="304"/>
      <c r="G123" s="290"/>
      <c r="H123" s="288"/>
      <c r="I123" s="297" t="s">
        <v>42</v>
      </c>
      <c r="J123" s="288"/>
    </row>
    <row r="124" spans="2:10">
      <c r="B124" s="286"/>
      <c r="C124" s="287"/>
      <c r="D124" s="290"/>
      <c r="E124" s="290"/>
      <c r="F124" s="304"/>
      <c r="G124" s="290"/>
      <c r="H124" s="288"/>
      <c r="I124" s="297"/>
      <c r="J124" s="288"/>
    </row>
    <row r="125" spans="2:10">
      <c r="B125" s="286"/>
      <c r="C125" s="287"/>
      <c r="D125" s="290"/>
      <c r="E125" s="290"/>
      <c r="F125" s="304"/>
      <c r="G125" s="290"/>
      <c r="H125" s="288"/>
      <c r="I125" s="297"/>
      <c r="J125" s="288"/>
    </row>
    <row r="126" spans="2:10">
      <c r="B126" s="286"/>
      <c r="C126" s="287"/>
      <c r="D126" s="290"/>
      <c r="E126" s="290"/>
      <c r="F126" s="304"/>
      <c r="G126" s="290"/>
      <c r="H126" s="288"/>
      <c r="I126" s="297"/>
      <c r="J126" s="288"/>
    </row>
    <row r="127" spans="2:10">
      <c r="B127" s="286"/>
      <c r="C127" s="287"/>
      <c r="D127" s="290"/>
      <c r="E127" s="290"/>
      <c r="F127" s="304"/>
      <c r="G127" s="290"/>
      <c r="H127" s="288"/>
      <c r="I127" s="297"/>
      <c r="J127" s="288"/>
    </row>
    <row r="128" spans="2:10">
      <c r="B128" s="286"/>
      <c r="C128" s="287"/>
      <c r="D128" s="290"/>
      <c r="E128" s="290"/>
      <c r="F128" s="304"/>
      <c r="G128" s="290"/>
      <c r="H128" s="288"/>
      <c r="I128" s="297"/>
      <c r="J128" s="288"/>
    </row>
    <row r="129" spans="2:10" ht="15" customHeight="1">
      <c r="B129" s="286">
        <v>27</v>
      </c>
      <c r="C129" s="287">
        <v>45699</v>
      </c>
      <c r="D129" s="290" t="s">
        <v>9</v>
      </c>
      <c r="E129" s="290" t="s">
        <v>10</v>
      </c>
      <c r="F129" s="304" t="s">
        <v>11</v>
      </c>
      <c r="G129" s="298" t="s">
        <v>62</v>
      </c>
      <c r="H129" s="288" t="s">
        <v>13</v>
      </c>
      <c r="I129" s="299" t="s">
        <v>11</v>
      </c>
      <c r="J129" s="288"/>
    </row>
    <row r="130" spans="2:10" ht="32.25" customHeight="1">
      <c r="B130" s="286"/>
      <c r="C130" s="287"/>
      <c r="D130" s="290"/>
      <c r="E130" s="290"/>
      <c r="F130" s="304"/>
      <c r="G130" s="290"/>
      <c r="H130" s="288"/>
      <c r="I130" s="299"/>
      <c r="J130" s="288"/>
    </row>
    <row r="131" spans="2:10">
      <c r="B131" s="286">
        <v>28</v>
      </c>
      <c r="C131" s="287">
        <v>45700</v>
      </c>
      <c r="D131" s="290" t="s">
        <v>9</v>
      </c>
      <c r="E131" s="290" t="s">
        <v>10</v>
      </c>
      <c r="F131" s="304" t="s">
        <v>11</v>
      </c>
      <c r="G131" s="298" t="s">
        <v>62</v>
      </c>
      <c r="H131" s="288" t="s">
        <v>13</v>
      </c>
      <c r="I131" s="297" t="s">
        <v>63</v>
      </c>
      <c r="J131" s="288"/>
    </row>
    <row r="132" spans="2:10" ht="28.5" customHeight="1">
      <c r="B132" s="286"/>
      <c r="C132" s="287"/>
      <c r="D132" s="290"/>
      <c r="E132" s="290"/>
      <c r="F132" s="304"/>
      <c r="G132" s="290"/>
      <c r="H132" s="288"/>
      <c r="I132" s="299"/>
      <c r="J132" s="288"/>
    </row>
    <row r="133" spans="2:10">
      <c r="B133" s="286">
        <v>29</v>
      </c>
      <c r="C133" s="287">
        <v>45701</v>
      </c>
      <c r="D133" s="290" t="s">
        <v>9</v>
      </c>
      <c r="E133" s="290" t="s">
        <v>10</v>
      </c>
      <c r="F133" s="304" t="s">
        <v>11</v>
      </c>
      <c r="G133" s="298" t="s">
        <v>64</v>
      </c>
      <c r="H133" s="288" t="s">
        <v>13</v>
      </c>
      <c r="I133" s="297" t="s">
        <v>63</v>
      </c>
      <c r="J133" s="288"/>
    </row>
    <row r="134" spans="2:10" ht="42.75" customHeight="1">
      <c r="B134" s="286"/>
      <c r="C134" s="287"/>
      <c r="D134" s="290"/>
      <c r="E134" s="290"/>
      <c r="F134" s="304"/>
      <c r="G134" s="290"/>
      <c r="H134" s="288"/>
      <c r="I134" s="299"/>
      <c r="J134" s="288"/>
    </row>
    <row r="135" spans="2:10" ht="32.25" customHeight="1">
      <c r="B135" s="286">
        <v>30</v>
      </c>
      <c r="C135" s="287">
        <v>45702</v>
      </c>
      <c r="D135" s="290" t="s">
        <v>9</v>
      </c>
      <c r="E135" s="290" t="s">
        <v>10</v>
      </c>
      <c r="F135" s="304" t="s">
        <v>11</v>
      </c>
      <c r="G135" s="298" t="s">
        <v>62</v>
      </c>
      <c r="H135" s="288" t="s">
        <v>13</v>
      </c>
      <c r="I135" s="298" t="s">
        <v>11</v>
      </c>
      <c r="J135" s="288"/>
    </row>
    <row r="136" spans="2:10" ht="32.25" customHeight="1">
      <c r="B136" s="286"/>
      <c r="C136" s="287"/>
      <c r="D136" s="290"/>
      <c r="E136" s="290"/>
      <c r="F136" s="304"/>
      <c r="G136" s="290"/>
      <c r="H136" s="288"/>
      <c r="I136" s="298"/>
      <c r="J136" s="288"/>
    </row>
    <row r="137" spans="2:10" ht="32.25" customHeight="1">
      <c r="B137" s="286">
        <v>31</v>
      </c>
      <c r="C137" s="287">
        <v>45705</v>
      </c>
      <c r="D137" s="290" t="s">
        <v>9</v>
      </c>
      <c r="E137" s="290" t="s">
        <v>10</v>
      </c>
      <c r="F137" s="304" t="s">
        <v>36</v>
      </c>
      <c r="G137" s="298" t="s">
        <v>65</v>
      </c>
      <c r="H137" s="288" t="s">
        <v>13</v>
      </c>
      <c r="I137" s="107" t="s">
        <v>66</v>
      </c>
      <c r="J137" s="288" t="s">
        <v>19</v>
      </c>
    </row>
    <row r="138" spans="2:10" ht="53.25" customHeight="1">
      <c r="B138" s="286"/>
      <c r="C138" s="287"/>
      <c r="D138" s="290"/>
      <c r="E138" s="290"/>
      <c r="F138" s="304"/>
      <c r="G138" s="290"/>
      <c r="H138" s="288"/>
      <c r="I138" s="107" t="s">
        <v>42</v>
      </c>
      <c r="J138" s="288"/>
    </row>
    <row r="139" spans="2:10">
      <c r="B139" s="286">
        <v>32</v>
      </c>
      <c r="C139" s="287">
        <v>45706</v>
      </c>
      <c r="D139" s="290" t="s">
        <v>9</v>
      </c>
      <c r="E139" s="290" t="s">
        <v>10</v>
      </c>
      <c r="F139" s="304" t="s">
        <v>11</v>
      </c>
      <c r="G139" s="298" t="s">
        <v>62</v>
      </c>
      <c r="H139" s="288" t="s">
        <v>13</v>
      </c>
      <c r="I139" s="298" t="s">
        <v>11</v>
      </c>
      <c r="J139" s="288"/>
    </row>
    <row r="140" spans="2:10">
      <c r="B140" s="286"/>
      <c r="C140" s="287"/>
      <c r="D140" s="290"/>
      <c r="E140" s="290"/>
      <c r="F140" s="304"/>
      <c r="G140" s="290"/>
      <c r="H140" s="288"/>
      <c r="I140" s="298"/>
      <c r="J140" s="288"/>
    </row>
    <row r="141" spans="2:10">
      <c r="B141" s="286">
        <v>33</v>
      </c>
      <c r="C141" s="287">
        <v>45707</v>
      </c>
      <c r="D141" s="290" t="s">
        <v>9</v>
      </c>
      <c r="E141" s="290" t="s">
        <v>10</v>
      </c>
      <c r="F141" s="304" t="s">
        <v>11</v>
      </c>
      <c r="G141" s="298" t="s">
        <v>67</v>
      </c>
      <c r="H141" s="288" t="s">
        <v>13</v>
      </c>
      <c r="I141" s="298" t="s">
        <v>11</v>
      </c>
      <c r="J141" s="288"/>
    </row>
    <row r="142" spans="2:10">
      <c r="B142" s="286"/>
      <c r="C142" s="287"/>
      <c r="D142" s="290"/>
      <c r="E142" s="290"/>
      <c r="F142" s="304"/>
      <c r="G142" s="290"/>
      <c r="H142" s="288"/>
      <c r="I142" s="298"/>
      <c r="J142" s="288"/>
    </row>
    <row r="143" spans="2:10">
      <c r="B143" s="286">
        <v>34</v>
      </c>
      <c r="C143" s="287">
        <v>45708</v>
      </c>
      <c r="D143" s="290" t="s">
        <v>9</v>
      </c>
      <c r="E143" s="290" t="s">
        <v>10</v>
      </c>
      <c r="F143" s="304" t="s">
        <v>11</v>
      </c>
      <c r="G143" s="298" t="s">
        <v>67</v>
      </c>
      <c r="H143" s="288" t="s">
        <v>13</v>
      </c>
      <c r="I143" s="298" t="s">
        <v>11</v>
      </c>
      <c r="J143" s="288"/>
    </row>
    <row r="144" spans="2:10">
      <c r="B144" s="286"/>
      <c r="C144" s="287"/>
      <c r="D144" s="290"/>
      <c r="E144" s="290"/>
      <c r="F144" s="304"/>
      <c r="G144" s="290"/>
      <c r="H144" s="288"/>
      <c r="I144" s="298"/>
      <c r="J144" s="288"/>
    </row>
    <row r="145" spans="1:10">
      <c r="B145" s="286">
        <v>35</v>
      </c>
      <c r="C145" s="287">
        <v>45709</v>
      </c>
      <c r="D145" s="290" t="s">
        <v>9</v>
      </c>
      <c r="E145" s="290" t="s">
        <v>10</v>
      </c>
      <c r="F145" s="304" t="s">
        <v>11</v>
      </c>
      <c r="G145" s="298" t="s">
        <v>67</v>
      </c>
      <c r="H145" s="288" t="s">
        <v>13</v>
      </c>
      <c r="I145" s="298" t="s">
        <v>11</v>
      </c>
      <c r="J145" s="288"/>
    </row>
    <row r="146" spans="1:10">
      <c r="B146" s="286"/>
      <c r="C146" s="287"/>
      <c r="D146" s="290"/>
      <c r="E146" s="290"/>
      <c r="F146" s="304"/>
      <c r="G146" s="290"/>
      <c r="H146" s="288"/>
      <c r="I146" s="298"/>
      <c r="J146" s="288"/>
    </row>
    <row r="147" spans="1:10" ht="15" customHeight="1">
      <c r="B147" s="286">
        <v>36</v>
      </c>
      <c r="C147" s="287">
        <v>45712</v>
      </c>
      <c r="D147" s="288" t="s">
        <v>9</v>
      </c>
      <c r="E147" s="288" t="s">
        <v>10</v>
      </c>
      <c r="F147" s="303" t="s">
        <v>30</v>
      </c>
      <c r="G147" s="290" t="s">
        <v>68</v>
      </c>
      <c r="H147" s="288" t="s">
        <v>13</v>
      </c>
      <c r="I147" s="297" t="s">
        <v>14</v>
      </c>
      <c r="J147" s="288" t="s">
        <v>15</v>
      </c>
    </row>
    <row r="148" spans="1:10">
      <c r="B148" s="286"/>
      <c r="C148" s="287"/>
      <c r="D148" s="288"/>
      <c r="E148" s="288"/>
      <c r="F148" s="303"/>
      <c r="G148" s="290"/>
      <c r="H148" s="288"/>
      <c r="I148" s="297"/>
      <c r="J148" s="288"/>
    </row>
    <row r="149" spans="1:10">
      <c r="B149" s="286"/>
      <c r="C149" s="287"/>
      <c r="D149" s="288"/>
      <c r="E149" s="288"/>
      <c r="F149" s="303"/>
      <c r="G149" s="290"/>
      <c r="H149" s="288"/>
      <c r="I149" s="297"/>
      <c r="J149" s="288"/>
    </row>
    <row r="150" spans="1:10">
      <c r="B150" s="286"/>
      <c r="C150" s="287"/>
      <c r="D150" s="288"/>
      <c r="E150" s="288"/>
      <c r="F150" s="303"/>
      <c r="G150" s="290"/>
      <c r="H150" s="288"/>
      <c r="I150" s="297"/>
      <c r="J150" s="288"/>
    </row>
    <row r="151" spans="1:10">
      <c r="B151" s="286"/>
      <c r="C151" s="287"/>
      <c r="D151" s="288"/>
      <c r="E151" s="288"/>
      <c r="F151" s="303"/>
      <c r="G151" s="290"/>
      <c r="H151" s="288"/>
      <c r="I151" s="297" t="s">
        <v>44</v>
      </c>
      <c r="J151" s="288"/>
    </row>
    <row r="152" spans="1:10">
      <c r="B152" s="286"/>
      <c r="C152" s="287"/>
      <c r="D152" s="288"/>
      <c r="E152" s="288"/>
      <c r="F152" s="303"/>
      <c r="G152" s="290"/>
      <c r="H152" s="288"/>
      <c r="I152" s="297"/>
      <c r="J152" s="288"/>
    </row>
    <row r="153" spans="1:10">
      <c r="B153" s="286"/>
      <c r="C153" s="287"/>
      <c r="D153" s="288"/>
      <c r="E153" s="288"/>
      <c r="F153" s="303"/>
      <c r="G153" s="290"/>
      <c r="H153" s="288"/>
      <c r="I153" s="297"/>
      <c r="J153" s="288"/>
    </row>
    <row r="154" spans="1:10" ht="15" customHeight="1">
      <c r="B154" s="286">
        <v>37</v>
      </c>
      <c r="C154" s="287">
        <v>45713</v>
      </c>
      <c r="D154" s="288" t="s">
        <v>9</v>
      </c>
      <c r="E154" s="288" t="s">
        <v>10</v>
      </c>
      <c r="F154" s="303" t="s">
        <v>30</v>
      </c>
      <c r="G154" s="290" t="s">
        <v>69</v>
      </c>
      <c r="H154" s="288" t="s">
        <v>13</v>
      </c>
      <c r="I154" s="297" t="s">
        <v>14</v>
      </c>
      <c r="J154" s="288" t="s">
        <v>19</v>
      </c>
    </row>
    <row r="155" spans="1:10">
      <c r="B155" s="286"/>
      <c r="C155" s="287"/>
      <c r="D155" s="288"/>
      <c r="E155" s="288"/>
      <c r="F155" s="303"/>
      <c r="G155" s="290"/>
      <c r="H155" s="288"/>
      <c r="I155" s="297"/>
      <c r="J155" s="288"/>
    </row>
    <row r="156" spans="1:10" ht="15" customHeight="1">
      <c r="B156" s="286"/>
      <c r="C156" s="287"/>
      <c r="D156" s="288"/>
      <c r="E156" s="288"/>
      <c r="F156" s="303"/>
      <c r="G156" s="290"/>
      <c r="H156" s="288"/>
      <c r="I156" s="297" t="s">
        <v>70</v>
      </c>
      <c r="J156" s="288"/>
    </row>
    <row r="157" spans="1:10">
      <c r="B157" s="286"/>
      <c r="C157" s="287"/>
      <c r="D157" s="288"/>
      <c r="E157" s="288"/>
      <c r="F157" s="303"/>
      <c r="G157" s="290"/>
      <c r="H157" s="288"/>
      <c r="I157" s="297"/>
      <c r="J157" s="288"/>
    </row>
    <row r="158" spans="1:10">
      <c r="B158" s="286">
        <v>38</v>
      </c>
      <c r="C158" s="287">
        <v>45714</v>
      </c>
      <c r="D158" s="288" t="s">
        <v>9</v>
      </c>
      <c r="E158" s="288" t="s">
        <v>10</v>
      </c>
      <c r="F158" s="303" t="s">
        <v>11</v>
      </c>
      <c r="G158" s="298" t="s">
        <v>67</v>
      </c>
      <c r="H158" s="288" t="s">
        <v>13</v>
      </c>
      <c r="I158" s="298" t="s">
        <v>11</v>
      </c>
      <c r="J158" s="288" t="s">
        <v>11</v>
      </c>
    </row>
    <row r="159" spans="1:10">
      <c r="B159" s="286"/>
      <c r="C159" s="287"/>
      <c r="D159" s="288"/>
      <c r="E159" s="288"/>
      <c r="F159" s="303"/>
      <c r="G159" s="298"/>
      <c r="H159" s="288"/>
      <c r="I159" s="298"/>
      <c r="J159" s="288"/>
    </row>
    <row r="160" spans="1:10">
      <c r="A160" s="295"/>
      <c r="B160" s="286">
        <v>39</v>
      </c>
      <c r="C160" s="287">
        <v>45715</v>
      </c>
      <c r="D160" s="288" t="s">
        <v>9</v>
      </c>
      <c r="E160" s="288" t="s">
        <v>10</v>
      </c>
      <c r="F160" s="301" t="s">
        <v>71</v>
      </c>
      <c r="G160" s="298" t="s">
        <v>72</v>
      </c>
      <c r="H160" s="288" t="s">
        <v>13</v>
      </c>
      <c r="I160" s="297" t="s">
        <v>14</v>
      </c>
      <c r="J160" s="288" t="s">
        <v>15</v>
      </c>
    </row>
    <row r="161" spans="1:10">
      <c r="A161" s="295"/>
      <c r="B161" s="286"/>
      <c r="C161" s="287"/>
      <c r="D161" s="288"/>
      <c r="E161" s="288"/>
      <c r="F161" s="301"/>
      <c r="G161" s="298"/>
      <c r="H161" s="288"/>
      <c r="I161" s="297"/>
      <c r="J161" s="288"/>
    </row>
    <row r="162" spans="1:10" ht="28.5" customHeight="1">
      <c r="A162" s="295"/>
      <c r="B162" s="286"/>
      <c r="C162" s="287"/>
      <c r="D162" s="288"/>
      <c r="E162" s="288"/>
      <c r="F162" s="302" t="s">
        <v>73</v>
      </c>
      <c r="G162" s="298"/>
      <c r="H162" s="288"/>
      <c r="I162" s="297"/>
      <c r="J162" s="288"/>
    </row>
    <row r="163" spans="1:10" ht="15" customHeight="1">
      <c r="A163" s="295"/>
      <c r="B163" s="286"/>
      <c r="C163" s="287"/>
      <c r="D163" s="288"/>
      <c r="E163" s="288"/>
      <c r="F163" s="302"/>
      <c r="G163" s="298"/>
      <c r="H163" s="288"/>
      <c r="I163" s="297"/>
      <c r="J163" s="288"/>
    </row>
    <row r="164" spans="1:10" ht="15" customHeight="1">
      <c r="A164" s="295"/>
      <c r="B164" s="286"/>
      <c r="C164" s="287"/>
      <c r="D164" s="288"/>
      <c r="E164" s="288"/>
      <c r="F164" s="302"/>
      <c r="G164" s="298"/>
      <c r="H164" s="288"/>
      <c r="I164" s="297" t="s">
        <v>74</v>
      </c>
      <c r="J164" s="288"/>
    </row>
    <row r="165" spans="1:10" ht="28.5" customHeight="1">
      <c r="A165" s="295"/>
      <c r="B165" s="286"/>
      <c r="C165" s="287"/>
      <c r="D165" s="288"/>
      <c r="E165" s="288"/>
      <c r="F165" s="302" t="s">
        <v>75</v>
      </c>
      <c r="G165" s="298"/>
      <c r="H165" s="288"/>
      <c r="I165" s="297"/>
      <c r="J165" s="288"/>
    </row>
    <row r="166" spans="1:10">
      <c r="A166" s="295"/>
      <c r="B166" s="286"/>
      <c r="C166" s="287"/>
      <c r="D166" s="288"/>
      <c r="E166" s="288"/>
      <c r="F166" s="302"/>
      <c r="G166" s="298"/>
      <c r="H166" s="288"/>
      <c r="I166" s="297"/>
      <c r="J166" s="288"/>
    </row>
    <row r="167" spans="1:10">
      <c r="A167" s="295"/>
      <c r="B167" s="286"/>
      <c r="C167" s="287"/>
      <c r="D167" s="288"/>
      <c r="E167" s="288"/>
      <c r="F167" s="302"/>
      <c r="G167" s="298"/>
      <c r="H167" s="288"/>
      <c r="I167" s="297"/>
      <c r="J167" s="288"/>
    </row>
    <row r="168" spans="1:10" ht="15" customHeight="1">
      <c r="A168" s="295"/>
      <c r="B168" s="286">
        <v>40</v>
      </c>
      <c r="C168" s="287">
        <v>45716</v>
      </c>
      <c r="D168" s="288" t="s">
        <v>9</v>
      </c>
      <c r="E168" s="288" t="s">
        <v>10</v>
      </c>
      <c r="F168" s="301" t="s">
        <v>71</v>
      </c>
      <c r="G168" s="298" t="s">
        <v>76</v>
      </c>
      <c r="H168" s="288" t="s">
        <v>13</v>
      </c>
      <c r="I168" s="297" t="s">
        <v>14</v>
      </c>
      <c r="J168" s="288" t="s">
        <v>15</v>
      </c>
    </row>
    <row r="169" spans="1:10" ht="15" customHeight="1">
      <c r="A169" s="295"/>
      <c r="B169" s="286"/>
      <c r="C169" s="287"/>
      <c r="D169" s="288"/>
      <c r="E169" s="288"/>
      <c r="F169" s="301"/>
      <c r="G169" s="298"/>
      <c r="H169" s="288"/>
      <c r="I169" s="297"/>
      <c r="J169" s="288"/>
    </row>
    <row r="170" spans="1:10" ht="15" customHeight="1">
      <c r="A170" s="295"/>
      <c r="B170" s="286"/>
      <c r="C170" s="287"/>
      <c r="D170" s="288"/>
      <c r="E170" s="288"/>
      <c r="F170" s="302" t="s">
        <v>73</v>
      </c>
      <c r="G170" s="298"/>
      <c r="H170" s="288"/>
      <c r="I170" s="297"/>
      <c r="J170" s="288"/>
    </row>
    <row r="171" spans="1:10" ht="15" customHeight="1">
      <c r="A171" s="295"/>
      <c r="B171" s="286"/>
      <c r="C171" s="287"/>
      <c r="D171" s="288"/>
      <c r="E171" s="288"/>
      <c r="F171" s="302"/>
      <c r="G171" s="298"/>
      <c r="H171" s="288"/>
      <c r="I171" s="297"/>
      <c r="J171" s="288"/>
    </row>
    <row r="172" spans="1:10" ht="15" customHeight="1">
      <c r="A172" s="295"/>
      <c r="B172" s="286"/>
      <c r="C172" s="287"/>
      <c r="D172" s="288"/>
      <c r="E172" s="288"/>
      <c r="F172" s="302"/>
      <c r="G172" s="298"/>
      <c r="H172" s="288"/>
      <c r="I172" s="297" t="s">
        <v>77</v>
      </c>
      <c r="J172" s="288"/>
    </row>
    <row r="173" spans="1:10">
      <c r="A173" s="295"/>
      <c r="B173" s="286"/>
      <c r="C173" s="287"/>
      <c r="D173" s="288"/>
      <c r="E173" s="288"/>
      <c r="F173" s="302" t="s">
        <v>75</v>
      </c>
      <c r="G173" s="298"/>
      <c r="H173" s="288"/>
      <c r="I173" s="297"/>
      <c r="J173" s="288"/>
    </row>
    <row r="174" spans="1:10">
      <c r="A174" s="295"/>
      <c r="B174" s="286"/>
      <c r="C174" s="287"/>
      <c r="D174" s="288"/>
      <c r="E174" s="288"/>
      <c r="F174" s="302"/>
      <c r="G174" s="298"/>
      <c r="H174" s="288"/>
      <c r="I174" s="297"/>
      <c r="J174" s="288"/>
    </row>
    <row r="175" spans="1:10">
      <c r="A175" s="295"/>
      <c r="B175" s="286"/>
      <c r="C175" s="287"/>
      <c r="D175" s="288"/>
      <c r="E175" s="288"/>
      <c r="F175" s="302"/>
      <c r="G175" s="298"/>
      <c r="H175" s="288"/>
      <c r="I175" s="297"/>
      <c r="J175" s="288"/>
    </row>
    <row r="176" spans="1:10" ht="15" customHeight="1">
      <c r="A176" s="295"/>
      <c r="B176" s="286">
        <v>41</v>
      </c>
      <c r="C176" s="287">
        <v>45719</v>
      </c>
      <c r="D176" s="288" t="s">
        <v>9</v>
      </c>
      <c r="E176" s="288" t="s">
        <v>10</v>
      </c>
      <c r="F176" s="301" t="s">
        <v>71</v>
      </c>
      <c r="G176" s="298" t="s">
        <v>76</v>
      </c>
      <c r="H176" s="288" t="s">
        <v>13</v>
      </c>
      <c r="I176" s="297" t="s">
        <v>14</v>
      </c>
      <c r="J176" s="288" t="s">
        <v>19</v>
      </c>
    </row>
    <row r="177" spans="1:10" ht="15" customHeight="1">
      <c r="A177" s="295"/>
      <c r="B177" s="286"/>
      <c r="C177" s="287"/>
      <c r="D177" s="288"/>
      <c r="E177" s="288"/>
      <c r="F177" s="301"/>
      <c r="G177" s="298"/>
      <c r="H177" s="288"/>
      <c r="I177" s="297"/>
      <c r="J177" s="288"/>
    </row>
    <row r="178" spans="1:10">
      <c r="A178" s="295"/>
      <c r="B178" s="286"/>
      <c r="C178" s="287"/>
      <c r="D178" s="288"/>
      <c r="E178" s="288"/>
      <c r="F178" s="302" t="s">
        <v>75</v>
      </c>
      <c r="G178" s="298"/>
      <c r="H178" s="288"/>
      <c r="I178" s="297"/>
      <c r="J178" s="288"/>
    </row>
    <row r="179" spans="1:10">
      <c r="A179" s="295"/>
      <c r="B179" s="286"/>
      <c r="C179" s="287"/>
      <c r="D179" s="288"/>
      <c r="E179" s="288"/>
      <c r="F179" s="302"/>
      <c r="G179" s="298"/>
      <c r="H179" s="288"/>
      <c r="I179" s="297"/>
      <c r="J179" s="288"/>
    </row>
    <row r="180" spans="1:10">
      <c r="A180" s="295"/>
      <c r="B180" s="286"/>
      <c r="C180" s="287"/>
      <c r="D180" s="288"/>
      <c r="E180" s="288"/>
      <c r="F180" s="302"/>
      <c r="G180" s="298"/>
      <c r="H180" s="288"/>
      <c r="I180" s="297" t="s">
        <v>77</v>
      </c>
      <c r="J180" s="288"/>
    </row>
    <row r="181" spans="1:10">
      <c r="A181" s="295"/>
      <c r="B181" s="286"/>
      <c r="C181" s="287"/>
      <c r="D181" s="288"/>
      <c r="E181" s="288"/>
      <c r="F181" s="302" t="s">
        <v>75</v>
      </c>
      <c r="G181" s="298"/>
      <c r="H181" s="288"/>
      <c r="I181" s="297"/>
      <c r="J181" s="288"/>
    </row>
    <row r="182" spans="1:10">
      <c r="A182" s="295"/>
      <c r="B182" s="286"/>
      <c r="C182" s="287"/>
      <c r="D182" s="288"/>
      <c r="E182" s="288"/>
      <c r="F182" s="302"/>
      <c r="G182" s="298"/>
      <c r="H182" s="288"/>
      <c r="I182" s="297"/>
      <c r="J182" s="288"/>
    </row>
    <row r="183" spans="1:10">
      <c r="A183" s="295"/>
      <c r="B183" s="286"/>
      <c r="C183" s="287"/>
      <c r="D183" s="288"/>
      <c r="E183" s="288"/>
      <c r="F183" s="302"/>
      <c r="G183" s="298"/>
      <c r="H183" s="288"/>
      <c r="I183" s="297"/>
      <c r="J183" s="288"/>
    </row>
    <row r="184" spans="1:10" ht="15" customHeight="1">
      <c r="A184" s="295"/>
      <c r="B184" s="286"/>
      <c r="C184" s="287"/>
      <c r="D184" s="288"/>
      <c r="E184" s="288"/>
      <c r="F184" s="303" t="s">
        <v>78</v>
      </c>
      <c r="G184" s="290" t="s">
        <v>79</v>
      </c>
      <c r="H184" s="288" t="s">
        <v>13</v>
      </c>
      <c r="I184" s="309" t="s">
        <v>14</v>
      </c>
      <c r="J184" s="288"/>
    </row>
    <row r="185" spans="1:10">
      <c r="A185" s="295"/>
      <c r="B185" s="286"/>
      <c r="C185" s="287"/>
      <c r="D185" s="288"/>
      <c r="E185" s="288"/>
      <c r="F185" s="303"/>
      <c r="G185" s="290"/>
      <c r="H185" s="288"/>
      <c r="I185" s="309"/>
      <c r="J185" s="288"/>
    </row>
    <row r="186" spans="1:10">
      <c r="A186" s="295"/>
      <c r="B186" s="286"/>
      <c r="C186" s="287"/>
      <c r="D186" s="288"/>
      <c r="E186" s="288"/>
      <c r="F186" s="303"/>
      <c r="G186" s="290"/>
      <c r="H186" s="288"/>
      <c r="I186" s="309"/>
      <c r="J186" s="288"/>
    </row>
    <row r="187" spans="1:10">
      <c r="A187" s="295"/>
      <c r="B187" s="286"/>
      <c r="C187" s="287"/>
      <c r="D187" s="288"/>
      <c r="E187" s="288"/>
      <c r="F187" s="303"/>
      <c r="G187" s="290"/>
      <c r="H187" s="288"/>
      <c r="I187" s="309"/>
      <c r="J187" s="288"/>
    </row>
    <row r="188" spans="1:10">
      <c r="A188" s="295"/>
      <c r="B188" s="286"/>
      <c r="C188" s="287"/>
      <c r="D188" s="288"/>
      <c r="E188" s="288"/>
      <c r="F188" s="303"/>
      <c r="G188" s="290"/>
      <c r="H188" s="288"/>
      <c r="I188" s="297" t="s">
        <v>80</v>
      </c>
      <c r="J188" s="288"/>
    </row>
    <row r="189" spans="1:10">
      <c r="A189" s="295"/>
      <c r="B189" s="286"/>
      <c r="C189" s="287"/>
      <c r="D189" s="288"/>
      <c r="E189" s="288"/>
      <c r="F189" s="303"/>
      <c r="G189" s="290"/>
      <c r="H189" s="288"/>
      <c r="I189" s="297"/>
      <c r="J189" s="288"/>
    </row>
    <row r="190" spans="1:10">
      <c r="A190" s="295"/>
      <c r="B190" s="286"/>
      <c r="C190" s="287"/>
      <c r="D190" s="288"/>
      <c r="E190" s="288"/>
      <c r="F190" s="303"/>
      <c r="G190" s="290"/>
      <c r="H190" s="288"/>
      <c r="I190" s="297"/>
      <c r="J190" s="288"/>
    </row>
    <row r="191" spans="1:10" ht="15" customHeight="1">
      <c r="A191" s="295"/>
      <c r="B191" s="286">
        <v>42</v>
      </c>
      <c r="C191" s="287">
        <v>45720</v>
      </c>
      <c r="D191" s="288" t="s">
        <v>9</v>
      </c>
      <c r="E191" s="288" t="s">
        <v>10</v>
      </c>
      <c r="F191" s="301" t="s">
        <v>78</v>
      </c>
      <c r="G191" s="298" t="s">
        <v>81</v>
      </c>
      <c r="H191" s="288" t="s">
        <v>13</v>
      </c>
      <c r="I191" s="297" t="s">
        <v>14</v>
      </c>
      <c r="J191" s="288" t="s">
        <v>15</v>
      </c>
    </row>
    <row r="192" spans="1:10" ht="48" customHeight="1">
      <c r="A192" s="295"/>
      <c r="B192" s="286"/>
      <c r="C192" s="287"/>
      <c r="D192" s="288"/>
      <c r="E192" s="288"/>
      <c r="F192" s="301"/>
      <c r="G192" s="298"/>
      <c r="H192" s="288"/>
      <c r="I192" s="297"/>
      <c r="J192" s="288"/>
    </row>
    <row r="193" spans="1:10" ht="48" customHeight="1">
      <c r="A193" s="295"/>
      <c r="B193" s="286"/>
      <c r="C193" s="287"/>
      <c r="D193" s="288"/>
      <c r="E193" s="288"/>
      <c r="F193" s="301"/>
      <c r="G193" s="298"/>
      <c r="H193" s="288"/>
      <c r="I193" s="107" t="s">
        <v>80</v>
      </c>
      <c r="J193" s="288"/>
    </row>
    <row r="194" spans="1:10" ht="71.25" customHeight="1">
      <c r="A194" s="295"/>
      <c r="B194" s="286">
        <v>43</v>
      </c>
      <c r="C194" s="287">
        <v>45721</v>
      </c>
      <c r="D194" s="288" t="s">
        <v>9</v>
      </c>
      <c r="E194" s="288" t="s">
        <v>10</v>
      </c>
      <c r="F194" s="301" t="s">
        <v>78</v>
      </c>
      <c r="G194" s="298" t="s">
        <v>82</v>
      </c>
      <c r="H194" s="288" t="s">
        <v>13</v>
      </c>
      <c r="I194" s="107" t="s">
        <v>14</v>
      </c>
      <c r="J194" s="288" t="s">
        <v>19</v>
      </c>
    </row>
    <row r="195" spans="1:10" ht="63.75" customHeight="1">
      <c r="A195" s="295"/>
      <c r="B195" s="286"/>
      <c r="C195" s="287"/>
      <c r="D195" s="288"/>
      <c r="E195" s="288"/>
      <c r="F195" s="301"/>
      <c r="G195" s="298"/>
      <c r="H195" s="288"/>
      <c r="I195" s="107" t="s">
        <v>80</v>
      </c>
      <c r="J195" s="288"/>
    </row>
    <row r="196" spans="1:10" ht="15" customHeight="1">
      <c r="A196" s="295"/>
      <c r="B196" s="286">
        <v>44</v>
      </c>
      <c r="C196" s="287">
        <v>45722</v>
      </c>
      <c r="D196" s="288" t="s">
        <v>9</v>
      </c>
      <c r="E196" s="288" t="s">
        <v>10</v>
      </c>
      <c r="F196" s="301" t="s">
        <v>11</v>
      </c>
      <c r="G196" s="298" t="s">
        <v>67</v>
      </c>
      <c r="H196" s="288" t="s">
        <v>13</v>
      </c>
      <c r="I196" s="298" t="s">
        <v>11</v>
      </c>
      <c r="J196" s="288" t="s">
        <v>11</v>
      </c>
    </row>
    <row r="197" spans="1:10">
      <c r="A197" s="295"/>
      <c r="B197" s="286"/>
      <c r="C197" s="287"/>
      <c r="D197" s="288"/>
      <c r="E197" s="288"/>
      <c r="F197" s="301"/>
      <c r="G197" s="298"/>
      <c r="H197" s="288"/>
      <c r="I197" s="298"/>
      <c r="J197" s="288"/>
    </row>
    <row r="198" spans="1:10">
      <c r="A198" s="295"/>
      <c r="B198" s="286">
        <v>45</v>
      </c>
      <c r="C198" s="287">
        <v>45723</v>
      </c>
      <c r="D198" s="288" t="s">
        <v>9</v>
      </c>
      <c r="E198" s="288" t="s">
        <v>10</v>
      </c>
      <c r="F198" s="301" t="s">
        <v>11</v>
      </c>
      <c r="G198" s="298" t="s">
        <v>67</v>
      </c>
      <c r="H198" s="288" t="s">
        <v>13</v>
      </c>
      <c r="I198" s="298" t="s">
        <v>11</v>
      </c>
      <c r="J198" s="288" t="s">
        <v>11</v>
      </c>
    </row>
    <row r="199" spans="1:10" ht="15" customHeight="1">
      <c r="A199" s="295"/>
      <c r="B199" s="286"/>
      <c r="C199" s="287"/>
      <c r="D199" s="288"/>
      <c r="E199" s="288"/>
      <c r="F199" s="301"/>
      <c r="G199" s="298"/>
      <c r="H199" s="288"/>
      <c r="I199" s="298"/>
      <c r="J199" s="288"/>
    </row>
    <row r="200" spans="1:10" ht="15" customHeight="1">
      <c r="A200" s="295"/>
      <c r="B200" s="286">
        <v>46</v>
      </c>
      <c r="C200" s="287">
        <v>45727</v>
      </c>
      <c r="D200" s="288" t="s">
        <v>9</v>
      </c>
      <c r="E200" s="288" t="s">
        <v>10</v>
      </c>
      <c r="F200" s="301" t="s">
        <v>11</v>
      </c>
      <c r="G200" s="298" t="s">
        <v>67</v>
      </c>
      <c r="H200" s="288" t="s">
        <v>13</v>
      </c>
      <c r="I200" s="298" t="s">
        <v>11</v>
      </c>
      <c r="J200" s="288" t="s">
        <v>11</v>
      </c>
    </row>
    <row r="201" spans="1:10" ht="15" customHeight="1">
      <c r="A201" s="295"/>
      <c r="B201" s="286"/>
      <c r="C201" s="287"/>
      <c r="D201" s="288"/>
      <c r="E201" s="288"/>
      <c r="F201" s="301"/>
      <c r="G201" s="298"/>
      <c r="H201" s="288"/>
      <c r="I201" s="298"/>
      <c r="J201" s="288"/>
    </row>
    <row r="202" spans="1:10" ht="15" customHeight="1">
      <c r="A202" s="295"/>
      <c r="B202" s="286">
        <v>47</v>
      </c>
      <c r="C202" s="287">
        <v>45728</v>
      </c>
      <c r="D202" s="288" t="s">
        <v>9</v>
      </c>
      <c r="E202" s="288" t="s">
        <v>10</v>
      </c>
      <c r="F202" s="301" t="s">
        <v>11</v>
      </c>
      <c r="G202" s="298" t="s">
        <v>67</v>
      </c>
      <c r="H202" s="288" t="s">
        <v>13</v>
      </c>
      <c r="I202" s="298" t="s">
        <v>11</v>
      </c>
      <c r="J202" s="288" t="s">
        <v>11</v>
      </c>
    </row>
    <row r="203" spans="1:10" ht="15" customHeight="1">
      <c r="A203" s="295"/>
      <c r="B203" s="286"/>
      <c r="C203" s="287"/>
      <c r="D203" s="288"/>
      <c r="E203" s="288"/>
      <c r="F203" s="301"/>
      <c r="G203" s="298"/>
      <c r="H203" s="288"/>
      <c r="I203" s="298"/>
      <c r="J203" s="288"/>
    </row>
    <row r="204" spans="1:10" ht="15" customHeight="1">
      <c r="A204" s="295"/>
      <c r="B204" s="286">
        <v>48</v>
      </c>
      <c r="C204" s="287">
        <v>45729</v>
      </c>
      <c r="D204" s="288" t="s">
        <v>9</v>
      </c>
      <c r="E204" s="288" t="s">
        <v>10</v>
      </c>
      <c r="F204" s="301" t="s">
        <v>11</v>
      </c>
      <c r="G204" s="298" t="s">
        <v>67</v>
      </c>
      <c r="H204" s="288" t="s">
        <v>13</v>
      </c>
      <c r="I204" s="298" t="s">
        <v>11</v>
      </c>
      <c r="J204" s="288" t="s">
        <v>11</v>
      </c>
    </row>
    <row r="205" spans="1:10" ht="15" customHeight="1">
      <c r="A205" s="295"/>
      <c r="B205" s="286"/>
      <c r="C205" s="287"/>
      <c r="D205" s="288"/>
      <c r="E205" s="288"/>
      <c r="F205" s="301"/>
      <c r="G205" s="298"/>
      <c r="H205" s="288"/>
      <c r="I205" s="298"/>
      <c r="J205" s="288"/>
    </row>
    <row r="206" spans="1:10" ht="15" customHeight="1">
      <c r="A206" s="295"/>
      <c r="B206" s="286">
        <v>49</v>
      </c>
      <c r="C206" s="287">
        <v>45730</v>
      </c>
      <c r="D206" s="288" t="s">
        <v>9</v>
      </c>
      <c r="E206" s="288" t="s">
        <v>10</v>
      </c>
      <c r="F206" s="301" t="s">
        <v>11</v>
      </c>
      <c r="G206" s="298" t="s">
        <v>67</v>
      </c>
      <c r="H206" s="288" t="s">
        <v>13</v>
      </c>
      <c r="I206" s="298" t="s">
        <v>11</v>
      </c>
      <c r="J206" s="288" t="s">
        <v>11</v>
      </c>
    </row>
    <row r="207" spans="1:10" ht="15" customHeight="1">
      <c r="A207" s="295"/>
      <c r="B207" s="286"/>
      <c r="C207" s="287"/>
      <c r="D207" s="288"/>
      <c r="E207" s="288"/>
      <c r="F207" s="301"/>
      <c r="G207" s="298"/>
      <c r="H207" s="288"/>
      <c r="I207" s="298"/>
      <c r="J207" s="288"/>
    </row>
    <row r="208" spans="1:10" ht="15" customHeight="1">
      <c r="A208" s="295"/>
      <c r="B208" s="286">
        <v>50</v>
      </c>
      <c r="C208" s="287">
        <v>45731</v>
      </c>
      <c r="D208" s="288" t="s">
        <v>9</v>
      </c>
      <c r="E208" s="288" t="s">
        <v>10</v>
      </c>
      <c r="F208" s="301" t="s">
        <v>11</v>
      </c>
      <c r="G208" s="298" t="s">
        <v>67</v>
      </c>
      <c r="H208" s="288" t="s">
        <v>13</v>
      </c>
      <c r="I208" s="298" t="s">
        <v>11</v>
      </c>
      <c r="J208" s="288" t="s">
        <v>11</v>
      </c>
    </row>
    <row r="209" spans="1:10" ht="15" customHeight="1">
      <c r="A209" s="295"/>
      <c r="B209" s="286"/>
      <c r="C209" s="287"/>
      <c r="D209" s="288"/>
      <c r="E209" s="288"/>
      <c r="F209" s="301"/>
      <c r="G209" s="298"/>
      <c r="H209" s="288"/>
      <c r="I209" s="298"/>
      <c r="J209" s="288"/>
    </row>
    <row r="210" spans="1:10" ht="15" customHeight="1">
      <c r="A210" s="295"/>
      <c r="B210" s="286">
        <v>51</v>
      </c>
      <c r="C210" s="287">
        <v>45733</v>
      </c>
      <c r="D210" s="288" t="s">
        <v>9</v>
      </c>
      <c r="E210" s="288" t="s">
        <v>10</v>
      </c>
      <c r="F210" s="301" t="s">
        <v>11</v>
      </c>
      <c r="G210" s="298" t="s">
        <v>67</v>
      </c>
      <c r="H210" s="288" t="s">
        <v>13</v>
      </c>
      <c r="I210" s="298" t="s">
        <v>11</v>
      </c>
      <c r="J210" s="288" t="s">
        <v>11</v>
      </c>
    </row>
    <row r="211" spans="1:10" ht="15" customHeight="1">
      <c r="A211" s="295"/>
      <c r="B211" s="286"/>
      <c r="C211" s="287"/>
      <c r="D211" s="288"/>
      <c r="E211" s="288"/>
      <c r="F211" s="301"/>
      <c r="G211" s="298"/>
      <c r="H211" s="288"/>
      <c r="I211" s="298"/>
      <c r="J211" s="288"/>
    </row>
    <row r="212" spans="1:10" ht="15" customHeight="1">
      <c r="A212" s="295"/>
      <c r="B212" s="286">
        <v>52</v>
      </c>
      <c r="C212" s="287">
        <v>45734</v>
      </c>
      <c r="D212" s="288" t="s">
        <v>9</v>
      </c>
      <c r="E212" s="288" t="s">
        <v>10</v>
      </c>
      <c r="F212" s="301" t="s">
        <v>11</v>
      </c>
      <c r="G212" s="298" t="s">
        <v>83</v>
      </c>
      <c r="H212" s="288" t="s">
        <v>13</v>
      </c>
      <c r="I212" s="298" t="s">
        <v>11</v>
      </c>
      <c r="J212" s="288" t="s">
        <v>11</v>
      </c>
    </row>
    <row r="213" spans="1:10" ht="15" customHeight="1">
      <c r="A213" s="295"/>
      <c r="B213" s="286"/>
      <c r="C213" s="287"/>
      <c r="D213" s="288"/>
      <c r="E213" s="288"/>
      <c r="F213" s="301"/>
      <c r="G213" s="298"/>
      <c r="H213" s="288"/>
      <c r="I213" s="298"/>
      <c r="J213" s="288"/>
    </row>
    <row r="214" spans="1:10" ht="15" customHeight="1">
      <c r="A214" s="295"/>
      <c r="B214" s="286">
        <v>53</v>
      </c>
      <c r="C214" s="287">
        <v>45735</v>
      </c>
      <c r="D214" s="288" t="s">
        <v>9</v>
      </c>
      <c r="E214" s="288" t="s">
        <v>10</v>
      </c>
      <c r="F214" s="301" t="s">
        <v>11</v>
      </c>
      <c r="G214" s="298" t="s">
        <v>84</v>
      </c>
      <c r="H214" s="288" t="s">
        <v>13</v>
      </c>
      <c r="I214" s="298" t="s">
        <v>11</v>
      </c>
      <c r="J214" s="288" t="s">
        <v>11</v>
      </c>
    </row>
    <row r="215" spans="1:10" ht="15" customHeight="1">
      <c r="A215" s="295"/>
      <c r="B215" s="286"/>
      <c r="C215" s="287"/>
      <c r="D215" s="288"/>
      <c r="E215" s="288"/>
      <c r="F215" s="301"/>
      <c r="G215" s="298"/>
      <c r="H215" s="288"/>
      <c r="I215" s="298"/>
      <c r="J215" s="288"/>
    </row>
    <row r="216" spans="1:10" ht="21" customHeight="1">
      <c r="A216" s="295"/>
      <c r="B216" s="286">
        <v>54</v>
      </c>
      <c r="C216" s="287">
        <v>45736</v>
      </c>
      <c r="D216" s="288" t="s">
        <v>9</v>
      </c>
      <c r="E216" s="288" t="s">
        <v>10</v>
      </c>
      <c r="F216" s="301" t="s">
        <v>11</v>
      </c>
      <c r="G216" s="298" t="s">
        <v>85</v>
      </c>
      <c r="H216" s="288" t="s">
        <v>13</v>
      </c>
      <c r="I216" s="298" t="s">
        <v>11</v>
      </c>
      <c r="J216" s="288" t="s">
        <v>11</v>
      </c>
    </row>
    <row r="217" spans="1:10" ht="21.75" customHeight="1">
      <c r="A217" s="295"/>
      <c r="B217" s="286"/>
      <c r="C217" s="287"/>
      <c r="D217" s="288"/>
      <c r="E217" s="288"/>
      <c r="F217" s="301"/>
      <c r="G217" s="298"/>
      <c r="H217" s="288"/>
      <c r="I217" s="298"/>
      <c r="J217" s="288"/>
    </row>
    <row r="218" spans="1:10" ht="15" customHeight="1">
      <c r="A218" s="295"/>
      <c r="B218" s="286">
        <v>55</v>
      </c>
      <c r="C218" s="287">
        <v>45737</v>
      </c>
      <c r="D218" s="288" t="s">
        <v>9</v>
      </c>
      <c r="E218" s="288" t="s">
        <v>10</v>
      </c>
      <c r="F218" s="301" t="s">
        <v>11</v>
      </c>
      <c r="G218" s="298" t="s">
        <v>86</v>
      </c>
      <c r="H218" s="288" t="s">
        <v>13</v>
      </c>
      <c r="I218" s="310" t="s">
        <v>11</v>
      </c>
      <c r="J218" s="288" t="s">
        <v>11</v>
      </c>
    </row>
    <row r="219" spans="1:10" ht="18.75" customHeight="1">
      <c r="A219" s="295"/>
      <c r="B219" s="286"/>
      <c r="C219" s="287"/>
      <c r="D219" s="288"/>
      <c r="E219" s="288"/>
      <c r="F219" s="301"/>
      <c r="G219" s="298"/>
      <c r="H219" s="288"/>
      <c r="I219" s="310"/>
      <c r="J219" s="288"/>
    </row>
    <row r="220" spans="1:10" ht="15" customHeight="1">
      <c r="B220" s="286">
        <v>56</v>
      </c>
      <c r="C220" s="287">
        <v>45738</v>
      </c>
      <c r="D220" s="288" t="s">
        <v>9</v>
      </c>
      <c r="E220" s="288" t="s">
        <v>10</v>
      </c>
      <c r="F220" s="301" t="s">
        <v>11</v>
      </c>
      <c r="G220" s="298" t="s">
        <v>86</v>
      </c>
      <c r="H220" s="288" t="s">
        <v>13</v>
      </c>
      <c r="I220" s="310" t="s">
        <v>11</v>
      </c>
      <c r="J220" s="288" t="s">
        <v>11</v>
      </c>
    </row>
    <row r="221" spans="1:10" ht="15" customHeight="1">
      <c r="B221" s="286"/>
      <c r="C221" s="287"/>
      <c r="D221" s="288"/>
      <c r="E221" s="288"/>
      <c r="F221" s="301"/>
      <c r="G221" s="298"/>
      <c r="H221" s="288"/>
      <c r="I221" s="310"/>
      <c r="J221" s="288"/>
    </row>
    <row r="222" spans="1:10" ht="15" customHeight="1">
      <c r="B222" s="286">
        <v>57</v>
      </c>
      <c r="C222" s="287">
        <v>45740</v>
      </c>
      <c r="D222" s="288" t="s">
        <v>9</v>
      </c>
      <c r="E222" s="288" t="s">
        <v>10</v>
      </c>
      <c r="F222" s="301" t="s">
        <v>11</v>
      </c>
      <c r="G222" s="298" t="s">
        <v>67</v>
      </c>
      <c r="H222" s="288" t="s">
        <v>13</v>
      </c>
      <c r="I222" s="298" t="s">
        <v>11</v>
      </c>
      <c r="J222" s="288" t="s">
        <v>11</v>
      </c>
    </row>
    <row r="223" spans="1:10" ht="15" customHeight="1">
      <c r="B223" s="286"/>
      <c r="C223" s="287"/>
      <c r="D223" s="288"/>
      <c r="E223" s="288"/>
      <c r="F223" s="301"/>
      <c r="G223" s="298"/>
      <c r="H223" s="288"/>
      <c r="I223" s="298"/>
      <c r="J223" s="288"/>
    </row>
    <row r="224" spans="1:10" ht="15" customHeight="1">
      <c r="B224" s="286">
        <v>58</v>
      </c>
      <c r="C224" s="287">
        <v>45741</v>
      </c>
      <c r="D224" s="288" t="s">
        <v>9</v>
      </c>
      <c r="E224" s="288" t="s">
        <v>10</v>
      </c>
      <c r="F224" s="301" t="s">
        <v>11</v>
      </c>
      <c r="G224" s="298" t="s">
        <v>67</v>
      </c>
      <c r="H224" s="288" t="s">
        <v>13</v>
      </c>
      <c r="I224" s="298" t="s">
        <v>11</v>
      </c>
      <c r="J224" s="288" t="s">
        <v>11</v>
      </c>
    </row>
    <row r="225" spans="1:10" ht="15" customHeight="1">
      <c r="B225" s="286"/>
      <c r="C225" s="287"/>
      <c r="D225" s="288"/>
      <c r="E225" s="288"/>
      <c r="F225" s="301"/>
      <c r="G225" s="298"/>
      <c r="H225" s="288"/>
      <c r="I225" s="298"/>
      <c r="J225" s="288"/>
    </row>
    <row r="226" spans="1:10" ht="15" customHeight="1">
      <c r="A226" s="295"/>
      <c r="B226" s="286">
        <v>59</v>
      </c>
      <c r="C226" s="287">
        <v>45742</v>
      </c>
      <c r="D226" s="288" t="s">
        <v>9</v>
      </c>
      <c r="E226" s="288" t="s">
        <v>10</v>
      </c>
      <c r="F226" s="301" t="s">
        <v>11</v>
      </c>
      <c r="G226" s="298" t="s">
        <v>67</v>
      </c>
      <c r="H226" s="288" t="s">
        <v>13</v>
      </c>
      <c r="I226" s="298" t="s">
        <v>11</v>
      </c>
      <c r="J226" s="288" t="s">
        <v>11</v>
      </c>
    </row>
    <row r="227" spans="1:10" ht="15" customHeight="1">
      <c r="A227" s="295"/>
      <c r="B227" s="286"/>
      <c r="C227" s="287"/>
      <c r="D227" s="288"/>
      <c r="E227" s="288"/>
      <c r="F227" s="301"/>
      <c r="G227" s="298"/>
      <c r="H227" s="288"/>
      <c r="I227" s="298"/>
      <c r="J227" s="288"/>
    </row>
    <row r="228" spans="1:10" ht="15" customHeight="1">
      <c r="A228" s="295"/>
      <c r="B228" s="286">
        <v>60</v>
      </c>
      <c r="C228" s="287">
        <v>45743</v>
      </c>
      <c r="D228" s="288" t="s">
        <v>9</v>
      </c>
      <c r="E228" s="288" t="s">
        <v>10</v>
      </c>
      <c r="F228" s="301" t="s">
        <v>11</v>
      </c>
      <c r="G228" s="298" t="s">
        <v>67</v>
      </c>
      <c r="H228" s="288" t="s">
        <v>13</v>
      </c>
      <c r="I228" s="298" t="s">
        <v>11</v>
      </c>
      <c r="J228" s="288" t="s">
        <v>11</v>
      </c>
    </row>
    <row r="229" spans="1:10" ht="15" customHeight="1">
      <c r="A229" s="295"/>
      <c r="B229" s="286"/>
      <c r="C229" s="287"/>
      <c r="D229" s="288"/>
      <c r="E229" s="288"/>
      <c r="F229" s="301"/>
      <c r="G229" s="298"/>
      <c r="H229" s="288"/>
      <c r="I229" s="298"/>
      <c r="J229" s="288"/>
    </row>
    <row r="230" spans="1:10" ht="15" customHeight="1">
      <c r="A230" s="295"/>
      <c r="B230" s="286">
        <v>61</v>
      </c>
      <c r="C230" s="287">
        <v>45743</v>
      </c>
      <c r="D230" s="288" t="s">
        <v>9</v>
      </c>
      <c r="E230" s="288" t="s">
        <v>10</v>
      </c>
      <c r="F230" s="301" t="s">
        <v>11</v>
      </c>
      <c r="G230" s="298" t="s">
        <v>67</v>
      </c>
      <c r="H230" s="288" t="s">
        <v>13</v>
      </c>
      <c r="I230" s="298" t="s">
        <v>11</v>
      </c>
      <c r="J230" s="288" t="s">
        <v>11</v>
      </c>
    </row>
    <row r="231" spans="1:10" ht="15" customHeight="1">
      <c r="A231" s="295"/>
      <c r="B231" s="286"/>
      <c r="C231" s="287"/>
      <c r="D231" s="288"/>
      <c r="E231" s="288"/>
      <c r="F231" s="301"/>
      <c r="G231" s="298"/>
      <c r="H231" s="288"/>
      <c r="I231" s="298"/>
      <c r="J231" s="288"/>
    </row>
    <row r="232" spans="1:10" ht="15" customHeight="1">
      <c r="A232" s="295"/>
      <c r="B232" s="286">
        <v>62</v>
      </c>
      <c r="C232" s="287">
        <v>45747</v>
      </c>
      <c r="D232" s="288" t="s">
        <v>9</v>
      </c>
      <c r="E232" s="288" t="s">
        <v>10</v>
      </c>
      <c r="F232" s="301" t="s">
        <v>11</v>
      </c>
      <c r="G232" s="298" t="s">
        <v>87</v>
      </c>
      <c r="H232" s="288" t="s">
        <v>13</v>
      </c>
      <c r="I232" s="298" t="s">
        <v>11</v>
      </c>
      <c r="J232" s="288" t="s">
        <v>11</v>
      </c>
    </row>
    <row r="233" spans="1:10" ht="15" customHeight="1">
      <c r="A233" s="295"/>
      <c r="B233" s="286"/>
      <c r="C233" s="287"/>
      <c r="D233" s="288"/>
      <c r="E233" s="288"/>
      <c r="F233" s="301"/>
      <c r="G233" s="298"/>
      <c r="H233" s="288"/>
      <c r="I233" s="298"/>
      <c r="J233" s="288"/>
    </row>
    <row r="234" spans="1:10" ht="26.25" customHeight="1">
      <c r="A234" s="295"/>
      <c r="B234" s="286">
        <v>63</v>
      </c>
      <c r="C234" s="287">
        <v>45748</v>
      </c>
      <c r="D234" s="288" t="s">
        <v>9</v>
      </c>
      <c r="E234" s="288" t="s">
        <v>10</v>
      </c>
      <c r="F234" s="301" t="s">
        <v>11</v>
      </c>
      <c r="G234" s="14" t="s">
        <v>88</v>
      </c>
      <c r="H234" s="288" t="s">
        <v>13</v>
      </c>
      <c r="I234" s="297" t="s">
        <v>14</v>
      </c>
      <c r="J234" s="288" t="s">
        <v>11</v>
      </c>
    </row>
    <row r="235" spans="1:10" ht="25.5" customHeight="1">
      <c r="A235" s="295"/>
      <c r="B235" s="286"/>
      <c r="C235" s="287"/>
      <c r="D235" s="288"/>
      <c r="E235" s="288"/>
      <c r="F235" s="301"/>
      <c r="G235" s="14" t="s">
        <v>89</v>
      </c>
      <c r="H235" s="288"/>
      <c r="I235" s="297"/>
      <c r="J235" s="288"/>
    </row>
    <row r="236" spans="1:10" ht="27" customHeight="1">
      <c r="A236" s="295"/>
      <c r="B236" s="286">
        <v>64</v>
      </c>
      <c r="C236" s="287">
        <v>45749</v>
      </c>
      <c r="D236" s="288" t="s">
        <v>9</v>
      </c>
      <c r="E236" s="288" t="s">
        <v>10</v>
      </c>
      <c r="F236" s="301" t="s">
        <v>11</v>
      </c>
      <c r="G236" s="14" t="s">
        <v>90</v>
      </c>
      <c r="H236" s="288" t="s">
        <v>13</v>
      </c>
      <c r="I236" s="297" t="s">
        <v>14</v>
      </c>
      <c r="J236" s="288" t="s">
        <v>11</v>
      </c>
    </row>
    <row r="237" spans="1:10" ht="31.5" customHeight="1">
      <c r="A237" s="295"/>
      <c r="B237" s="286"/>
      <c r="C237" s="287"/>
      <c r="D237" s="288"/>
      <c r="E237" s="288"/>
      <c r="F237" s="301"/>
      <c r="G237" s="14" t="s">
        <v>91</v>
      </c>
      <c r="H237" s="288"/>
      <c r="I237" s="297"/>
      <c r="J237" s="288"/>
    </row>
    <row r="238" spans="1:10" ht="29.25">
      <c r="A238" s="295"/>
      <c r="B238" s="286">
        <v>65</v>
      </c>
      <c r="C238" s="287">
        <v>45750</v>
      </c>
      <c r="D238" s="288" t="s">
        <v>9</v>
      </c>
      <c r="E238" s="288" t="s">
        <v>10</v>
      </c>
      <c r="F238" s="301" t="s">
        <v>11</v>
      </c>
      <c r="G238" s="14" t="s">
        <v>90</v>
      </c>
      <c r="H238" s="288" t="s">
        <v>13</v>
      </c>
      <c r="I238" s="297" t="s">
        <v>14</v>
      </c>
      <c r="J238" s="288" t="s">
        <v>11</v>
      </c>
    </row>
    <row r="239" spans="1:10" ht="35.25" customHeight="1">
      <c r="A239" s="295"/>
      <c r="B239" s="286"/>
      <c r="C239" s="287"/>
      <c r="D239" s="288"/>
      <c r="E239" s="288"/>
      <c r="F239" s="301"/>
      <c r="G239" s="14" t="s">
        <v>92</v>
      </c>
      <c r="H239" s="288"/>
      <c r="I239" s="297"/>
      <c r="J239" s="288"/>
    </row>
    <row r="240" spans="1:10" ht="15" customHeight="1">
      <c r="A240" s="295"/>
      <c r="B240" s="286">
        <v>66</v>
      </c>
      <c r="C240" s="287">
        <v>45751</v>
      </c>
      <c r="D240" s="288" t="s">
        <v>9</v>
      </c>
      <c r="E240" s="288" t="s">
        <v>10</v>
      </c>
      <c r="F240" s="304" t="s">
        <v>45</v>
      </c>
      <c r="G240" s="298" t="s">
        <v>93</v>
      </c>
      <c r="H240" s="288" t="s">
        <v>13</v>
      </c>
      <c r="I240" s="311" t="s">
        <v>14</v>
      </c>
      <c r="J240" s="288" t="s">
        <v>19</v>
      </c>
    </row>
    <row r="241" spans="1:10" ht="15" customHeight="1">
      <c r="A241" s="295"/>
      <c r="B241" s="286"/>
      <c r="C241" s="287"/>
      <c r="D241" s="288"/>
      <c r="E241" s="288"/>
      <c r="F241" s="304"/>
      <c r="G241" s="298"/>
      <c r="H241" s="288"/>
      <c r="I241" s="311"/>
      <c r="J241" s="288"/>
    </row>
    <row r="242" spans="1:10" ht="27" customHeight="1">
      <c r="A242" s="295"/>
      <c r="B242" s="286"/>
      <c r="C242" s="287"/>
      <c r="D242" s="288"/>
      <c r="E242" s="288"/>
      <c r="F242" s="302" t="s">
        <v>51</v>
      </c>
      <c r="G242" s="298"/>
      <c r="H242" s="288"/>
      <c r="I242" s="311" t="s">
        <v>56</v>
      </c>
      <c r="J242" s="288"/>
    </row>
    <row r="243" spans="1:10" ht="25.5" customHeight="1">
      <c r="A243" s="295"/>
      <c r="B243" s="286"/>
      <c r="C243" s="287"/>
      <c r="D243" s="288"/>
      <c r="E243" s="288"/>
      <c r="F243" s="302"/>
      <c r="G243" s="298"/>
      <c r="H243" s="288"/>
      <c r="I243" s="311"/>
      <c r="J243" s="288"/>
    </row>
    <row r="244" spans="1:10" ht="63" customHeight="1">
      <c r="A244" s="295"/>
      <c r="B244" s="286"/>
      <c r="C244" s="287"/>
      <c r="D244" s="288"/>
      <c r="E244" s="288"/>
      <c r="F244" s="41" t="s">
        <v>11</v>
      </c>
      <c r="G244" s="2" t="s">
        <v>94</v>
      </c>
      <c r="H244" s="288"/>
      <c r="I244" s="113" t="s">
        <v>14</v>
      </c>
      <c r="J244" s="288"/>
    </row>
    <row r="245" spans="1:10" ht="57" customHeight="1">
      <c r="A245" s="295"/>
      <c r="B245" s="286">
        <v>67</v>
      </c>
      <c r="C245" s="287">
        <v>45754</v>
      </c>
      <c r="D245" s="288" t="s">
        <v>9</v>
      </c>
      <c r="E245" s="288" t="s">
        <v>10</v>
      </c>
      <c r="F245" s="301" t="s">
        <v>95</v>
      </c>
      <c r="G245" s="298" t="s">
        <v>96</v>
      </c>
      <c r="H245" s="288" t="s">
        <v>13</v>
      </c>
      <c r="I245" s="113" t="s">
        <v>97</v>
      </c>
      <c r="J245" s="288" t="s">
        <v>19</v>
      </c>
    </row>
    <row r="246" spans="1:10" ht="63" customHeight="1">
      <c r="A246" s="295"/>
      <c r="B246" s="286"/>
      <c r="C246" s="287"/>
      <c r="D246" s="288"/>
      <c r="E246" s="288"/>
      <c r="F246" s="301"/>
      <c r="G246" s="298"/>
      <c r="H246" s="288"/>
      <c r="I246" s="113" t="s">
        <v>14</v>
      </c>
      <c r="J246" s="288"/>
    </row>
    <row r="247" spans="1:10" ht="69.75" customHeight="1">
      <c r="A247" s="295"/>
      <c r="B247" s="286"/>
      <c r="C247" s="287"/>
      <c r="D247" s="288"/>
      <c r="E247" s="288"/>
      <c r="F247" s="52" t="s">
        <v>11</v>
      </c>
      <c r="G247" s="14" t="s">
        <v>98</v>
      </c>
      <c r="H247" s="288"/>
      <c r="I247" s="2" t="s">
        <v>11</v>
      </c>
      <c r="J247" s="288"/>
    </row>
    <row r="248" spans="1:10" ht="57.75" customHeight="1">
      <c r="A248" s="295"/>
      <c r="B248" s="286">
        <v>68</v>
      </c>
      <c r="C248" s="287">
        <v>45755</v>
      </c>
      <c r="D248" s="288" t="s">
        <v>9</v>
      </c>
      <c r="E248" s="288" t="s">
        <v>10</v>
      </c>
      <c r="F248" s="301" t="s">
        <v>95</v>
      </c>
      <c r="G248" s="14" t="s">
        <v>96</v>
      </c>
      <c r="H248" s="288" t="s">
        <v>13</v>
      </c>
      <c r="I248" s="113" t="s">
        <v>99</v>
      </c>
      <c r="J248" s="288" t="s">
        <v>19</v>
      </c>
    </row>
    <row r="249" spans="1:10" ht="52.5" customHeight="1">
      <c r="A249" s="295"/>
      <c r="B249" s="286"/>
      <c r="C249" s="287"/>
      <c r="D249" s="288"/>
      <c r="E249" s="288"/>
      <c r="F249" s="301"/>
      <c r="G249" s="14" t="s">
        <v>100</v>
      </c>
      <c r="H249" s="288"/>
      <c r="I249" s="107" t="s">
        <v>14</v>
      </c>
      <c r="J249" s="288"/>
    </row>
    <row r="250" spans="1:10" ht="48" customHeight="1">
      <c r="A250" s="295"/>
      <c r="B250" s="286">
        <v>69</v>
      </c>
      <c r="C250" s="287">
        <v>45756</v>
      </c>
      <c r="D250" s="288" t="s">
        <v>9</v>
      </c>
      <c r="E250" s="288" t="s">
        <v>10</v>
      </c>
      <c r="F250" s="301" t="s">
        <v>95</v>
      </c>
      <c r="G250" s="14" t="s">
        <v>101</v>
      </c>
      <c r="H250" s="288" t="s">
        <v>13</v>
      </c>
      <c r="I250" s="113" t="s">
        <v>99</v>
      </c>
      <c r="J250" s="288" t="s">
        <v>19</v>
      </c>
    </row>
    <row r="251" spans="1:10" ht="51.75" customHeight="1">
      <c r="A251" s="295"/>
      <c r="B251" s="286"/>
      <c r="C251" s="287"/>
      <c r="D251" s="288"/>
      <c r="E251" s="288"/>
      <c r="F251" s="301"/>
      <c r="G251" s="14" t="s">
        <v>100</v>
      </c>
      <c r="H251" s="288"/>
      <c r="I251" s="107" t="s">
        <v>14</v>
      </c>
      <c r="J251" s="288"/>
    </row>
    <row r="252" spans="1:10" ht="42.75" customHeight="1">
      <c r="A252" s="295"/>
      <c r="B252" s="286">
        <v>70</v>
      </c>
      <c r="C252" s="287">
        <v>45757</v>
      </c>
      <c r="D252" s="288" t="s">
        <v>9</v>
      </c>
      <c r="E252" s="288" t="s">
        <v>10</v>
      </c>
      <c r="F252" s="301" t="s">
        <v>95</v>
      </c>
      <c r="G252" s="14" t="s">
        <v>102</v>
      </c>
      <c r="H252" s="288" t="s">
        <v>13</v>
      </c>
      <c r="I252" s="113" t="s">
        <v>99</v>
      </c>
      <c r="J252" s="288" t="s">
        <v>19</v>
      </c>
    </row>
    <row r="253" spans="1:10" ht="45" customHeight="1">
      <c r="A253" s="295"/>
      <c r="B253" s="286"/>
      <c r="C253" s="287"/>
      <c r="D253" s="288"/>
      <c r="E253" s="288"/>
      <c r="F253" s="301"/>
      <c r="G253" s="14" t="s">
        <v>100</v>
      </c>
      <c r="H253" s="288"/>
      <c r="I253" s="107" t="s">
        <v>14</v>
      </c>
      <c r="J253" s="288"/>
    </row>
    <row r="254" spans="1:10" ht="45" customHeight="1">
      <c r="A254" s="295"/>
      <c r="B254" s="286">
        <v>71</v>
      </c>
      <c r="C254" s="287">
        <v>45758</v>
      </c>
      <c r="D254" s="288" t="s">
        <v>9</v>
      </c>
      <c r="E254" s="288" t="s">
        <v>10</v>
      </c>
      <c r="F254" s="300" t="s">
        <v>103</v>
      </c>
      <c r="G254" s="14" t="s">
        <v>104</v>
      </c>
      <c r="H254" s="288" t="s">
        <v>13</v>
      </c>
      <c r="I254" s="113" t="s">
        <v>105</v>
      </c>
      <c r="J254" s="288" t="s">
        <v>15</v>
      </c>
    </row>
    <row r="255" spans="1:10" ht="43.5" customHeight="1">
      <c r="A255" s="295"/>
      <c r="B255" s="286"/>
      <c r="C255" s="287"/>
      <c r="D255" s="288"/>
      <c r="E255" s="288"/>
      <c r="F255" s="300"/>
      <c r="G255" s="14" t="s">
        <v>106</v>
      </c>
      <c r="H255" s="288"/>
      <c r="I255" s="107" t="s">
        <v>14</v>
      </c>
      <c r="J255" s="288"/>
    </row>
    <row r="256" spans="1:10" ht="57.75" customHeight="1">
      <c r="A256" s="295"/>
      <c r="B256" s="286">
        <v>72</v>
      </c>
      <c r="C256" s="287">
        <v>45761</v>
      </c>
      <c r="D256" s="288" t="s">
        <v>9</v>
      </c>
      <c r="E256" s="288" t="s">
        <v>10</v>
      </c>
      <c r="F256" s="300" t="s">
        <v>107</v>
      </c>
      <c r="G256" s="14" t="s">
        <v>108</v>
      </c>
      <c r="H256" s="288" t="s">
        <v>13</v>
      </c>
      <c r="I256" s="113" t="s">
        <v>105</v>
      </c>
      <c r="J256" s="288" t="s">
        <v>15</v>
      </c>
    </row>
    <row r="257" spans="1:14" ht="63.75" customHeight="1">
      <c r="A257" s="295"/>
      <c r="B257" s="286"/>
      <c r="C257" s="287"/>
      <c r="D257" s="288"/>
      <c r="E257" s="288"/>
      <c r="F257" s="300"/>
      <c r="G257" s="14" t="s">
        <v>109</v>
      </c>
      <c r="H257" s="288"/>
      <c r="I257" s="107" t="s">
        <v>14</v>
      </c>
      <c r="J257" s="288"/>
    </row>
    <row r="258" spans="1:14" ht="62.25" customHeight="1">
      <c r="A258" s="295"/>
      <c r="B258" s="286">
        <v>73</v>
      </c>
      <c r="C258" s="287">
        <v>45762</v>
      </c>
      <c r="D258" s="288" t="s">
        <v>9</v>
      </c>
      <c r="E258" s="288" t="s">
        <v>10</v>
      </c>
      <c r="F258" s="300" t="s">
        <v>107</v>
      </c>
      <c r="G258" s="14" t="s">
        <v>108</v>
      </c>
      <c r="H258" s="288" t="s">
        <v>13</v>
      </c>
      <c r="I258" s="113" t="s">
        <v>105</v>
      </c>
      <c r="J258" s="288" t="s">
        <v>15</v>
      </c>
      <c r="N258" s="121" t="s">
        <v>110</v>
      </c>
    </row>
    <row r="259" spans="1:14" ht="51.75" customHeight="1">
      <c r="A259" s="295"/>
      <c r="B259" s="286"/>
      <c r="C259" s="287"/>
      <c r="D259" s="288"/>
      <c r="E259" s="288"/>
      <c r="F259" s="300"/>
      <c r="G259" s="14" t="s">
        <v>109</v>
      </c>
      <c r="H259" s="288"/>
      <c r="I259" s="107" t="s">
        <v>14</v>
      </c>
      <c r="J259" s="288"/>
    </row>
    <row r="260" spans="1:14" ht="46.5" customHeight="1">
      <c r="A260" s="295"/>
      <c r="B260" s="286">
        <v>74</v>
      </c>
      <c r="C260" s="287">
        <v>45763</v>
      </c>
      <c r="D260" s="288" t="s">
        <v>9</v>
      </c>
      <c r="E260" s="288" t="s">
        <v>10</v>
      </c>
      <c r="F260" s="300" t="s">
        <v>107</v>
      </c>
      <c r="G260" s="298" t="s">
        <v>111</v>
      </c>
      <c r="H260" s="288" t="s">
        <v>13</v>
      </c>
      <c r="I260" s="113" t="s">
        <v>105</v>
      </c>
      <c r="J260" s="288" t="s">
        <v>19</v>
      </c>
    </row>
    <row r="261" spans="1:14" ht="32.25" customHeight="1">
      <c r="A261" s="295"/>
      <c r="B261" s="286"/>
      <c r="C261" s="287"/>
      <c r="D261" s="288"/>
      <c r="E261" s="288"/>
      <c r="F261" s="300"/>
      <c r="G261" s="298"/>
      <c r="H261" s="288"/>
      <c r="I261" s="107" t="s">
        <v>14</v>
      </c>
      <c r="J261" s="288"/>
    </row>
    <row r="262" spans="1:14" ht="36.75" customHeight="1">
      <c r="A262" s="295"/>
      <c r="B262" s="286"/>
      <c r="C262" s="287"/>
      <c r="D262" s="288"/>
      <c r="E262" s="288"/>
      <c r="F262" s="289" t="s">
        <v>112</v>
      </c>
      <c r="G262" s="290" t="s">
        <v>113</v>
      </c>
      <c r="H262" s="288" t="s">
        <v>13</v>
      </c>
      <c r="I262" s="107" t="s">
        <v>114</v>
      </c>
      <c r="J262" s="288" t="s">
        <v>15</v>
      </c>
    </row>
    <row r="263" spans="1:14" ht="29.25">
      <c r="A263" s="295"/>
      <c r="B263" s="286"/>
      <c r="C263" s="287"/>
      <c r="D263" s="288"/>
      <c r="E263" s="288"/>
      <c r="F263" s="289"/>
      <c r="G263" s="290"/>
      <c r="H263" s="288"/>
      <c r="I263" s="107" t="s">
        <v>14</v>
      </c>
      <c r="J263" s="288"/>
    </row>
    <row r="264" spans="1:14" ht="76.5" customHeight="1">
      <c r="A264" s="295"/>
      <c r="B264" s="286">
        <v>75</v>
      </c>
      <c r="C264" s="287">
        <v>45764</v>
      </c>
      <c r="D264" s="288" t="s">
        <v>9</v>
      </c>
      <c r="E264" s="288" t="s">
        <v>10</v>
      </c>
      <c r="F264" s="289" t="s">
        <v>112</v>
      </c>
      <c r="G264" s="2" t="s">
        <v>115</v>
      </c>
      <c r="H264" s="288" t="s">
        <v>13</v>
      </c>
      <c r="I264" s="107" t="s">
        <v>114</v>
      </c>
      <c r="J264" s="288" t="s">
        <v>19</v>
      </c>
    </row>
    <row r="265" spans="1:14" ht="40.5" customHeight="1">
      <c r="A265" s="295"/>
      <c r="B265" s="286"/>
      <c r="C265" s="287"/>
      <c r="D265" s="288"/>
      <c r="E265" s="288"/>
      <c r="F265" s="289"/>
      <c r="G265" s="14" t="s">
        <v>116</v>
      </c>
      <c r="H265" s="288"/>
      <c r="I265" s="107" t="s">
        <v>14</v>
      </c>
      <c r="J265" s="288"/>
    </row>
    <row r="266" spans="1:14" ht="24.75" customHeight="1">
      <c r="A266" s="295"/>
      <c r="B266" s="286">
        <v>76</v>
      </c>
      <c r="C266" s="287">
        <v>45765</v>
      </c>
      <c r="D266" s="288" t="s">
        <v>9</v>
      </c>
      <c r="E266" s="288" t="s">
        <v>10</v>
      </c>
      <c r="F266" s="289" t="s">
        <v>11</v>
      </c>
      <c r="G266" s="290" t="s">
        <v>117</v>
      </c>
      <c r="H266" s="288" t="s">
        <v>13</v>
      </c>
      <c r="I266" s="299" t="s">
        <v>11</v>
      </c>
      <c r="J266" s="288" t="s">
        <v>11</v>
      </c>
    </row>
    <row r="267" spans="1:14" ht="28.5" customHeight="1">
      <c r="A267" s="295"/>
      <c r="B267" s="286"/>
      <c r="C267" s="287"/>
      <c r="D267" s="288"/>
      <c r="E267" s="288"/>
      <c r="F267" s="289"/>
      <c r="G267" s="290"/>
      <c r="H267" s="288"/>
      <c r="I267" s="299"/>
      <c r="J267" s="288"/>
    </row>
    <row r="268" spans="1:14" ht="21" customHeight="1">
      <c r="A268" s="295"/>
      <c r="B268" s="286">
        <v>77</v>
      </c>
      <c r="C268" s="287">
        <v>45768</v>
      </c>
      <c r="D268" s="288" t="s">
        <v>9</v>
      </c>
      <c r="E268" s="288" t="s">
        <v>10</v>
      </c>
      <c r="F268" s="289" t="s">
        <v>11</v>
      </c>
      <c r="G268" s="290" t="s">
        <v>117</v>
      </c>
      <c r="H268" s="288" t="s">
        <v>13</v>
      </c>
      <c r="I268" s="299" t="s">
        <v>11</v>
      </c>
      <c r="J268" s="288" t="s">
        <v>11</v>
      </c>
    </row>
    <row r="269" spans="1:14" ht="15.75" customHeight="1">
      <c r="A269" s="295"/>
      <c r="B269" s="286"/>
      <c r="C269" s="287"/>
      <c r="D269" s="288"/>
      <c r="E269" s="288"/>
      <c r="F269" s="289"/>
      <c r="G269" s="290"/>
      <c r="H269" s="288"/>
      <c r="I269" s="299"/>
      <c r="J269" s="288"/>
    </row>
    <row r="270" spans="1:14" ht="25.5" customHeight="1">
      <c r="A270" s="295"/>
      <c r="B270" s="286">
        <v>78</v>
      </c>
      <c r="C270" s="287">
        <v>45769</v>
      </c>
      <c r="D270" s="288" t="s">
        <v>9</v>
      </c>
      <c r="E270" s="288" t="s">
        <v>10</v>
      </c>
      <c r="F270" s="289" t="s">
        <v>11</v>
      </c>
      <c r="G270" s="290" t="s">
        <v>117</v>
      </c>
      <c r="H270" s="288" t="s">
        <v>13</v>
      </c>
      <c r="I270" s="299" t="s">
        <v>11</v>
      </c>
      <c r="J270" s="288" t="s">
        <v>11</v>
      </c>
    </row>
    <row r="271" spans="1:14" ht="25.5" customHeight="1">
      <c r="A271" s="295"/>
      <c r="B271" s="286"/>
      <c r="C271" s="287"/>
      <c r="D271" s="288"/>
      <c r="E271" s="288"/>
      <c r="F271" s="289"/>
      <c r="G271" s="290"/>
      <c r="H271" s="288"/>
      <c r="I271" s="299"/>
      <c r="J271" s="288"/>
    </row>
    <row r="272" spans="1:14" ht="22.5" customHeight="1">
      <c r="A272" s="295"/>
      <c r="B272" s="286">
        <v>79</v>
      </c>
      <c r="C272" s="287">
        <v>45770</v>
      </c>
      <c r="D272" s="288" t="s">
        <v>9</v>
      </c>
      <c r="E272" s="288" t="s">
        <v>10</v>
      </c>
      <c r="F272" s="289" t="s">
        <v>11</v>
      </c>
      <c r="G272" s="290" t="s">
        <v>117</v>
      </c>
      <c r="H272" s="288" t="s">
        <v>13</v>
      </c>
      <c r="I272" s="299" t="s">
        <v>11</v>
      </c>
      <c r="J272" s="288" t="s">
        <v>11</v>
      </c>
    </row>
    <row r="273" spans="1:10" ht="22.5" customHeight="1">
      <c r="A273" s="295"/>
      <c r="B273" s="286"/>
      <c r="C273" s="287"/>
      <c r="D273" s="288"/>
      <c r="E273" s="288"/>
      <c r="F273" s="289"/>
      <c r="G273" s="290"/>
      <c r="H273" s="288"/>
      <c r="I273" s="299"/>
      <c r="J273" s="288"/>
    </row>
    <row r="274" spans="1:10" ht="30.75" customHeight="1">
      <c r="A274" s="295"/>
      <c r="B274" s="286">
        <v>80</v>
      </c>
      <c r="C274" s="287">
        <v>45771</v>
      </c>
      <c r="D274" s="288" t="s">
        <v>9</v>
      </c>
      <c r="E274" s="288" t="s">
        <v>10</v>
      </c>
      <c r="F274" s="301" t="s">
        <v>11</v>
      </c>
      <c r="G274" s="298" t="s">
        <v>67</v>
      </c>
      <c r="H274" s="288" t="s">
        <v>13</v>
      </c>
      <c r="I274" s="298" t="s">
        <v>11</v>
      </c>
      <c r="J274" s="288" t="s">
        <v>11</v>
      </c>
    </row>
    <row r="275" spans="1:10" ht="29.25" customHeight="1">
      <c r="A275" s="295"/>
      <c r="B275" s="286"/>
      <c r="C275" s="287"/>
      <c r="D275" s="288"/>
      <c r="E275" s="288"/>
      <c r="F275" s="301"/>
      <c r="G275" s="298"/>
      <c r="H275" s="288"/>
      <c r="I275" s="298"/>
      <c r="J275" s="288"/>
    </row>
    <row r="276" spans="1:10" ht="40.5" customHeight="1">
      <c r="A276" s="295"/>
      <c r="B276" s="286">
        <v>81</v>
      </c>
      <c r="C276" s="287">
        <v>45772</v>
      </c>
      <c r="D276" s="288" t="s">
        <v>9</v>
      </c>
      <c r="E276" s="288" t="s">
        <v>10</v>
      </c>
      <c r="F276" s="301" t="s">
        <v>95</v>
      </c>
      <c r="G276" s="290" t="s">
        <v>118</v>
      </c>
      <c r="H276" s="288" t="s">
        <v>13</v>
      </c>
      <c r="I276" s="113" t="s">
        <v>99</v>
      </c>
      <c r="J276" s="288" t="s">
        <v>15</v>
      </c>
    </row>
    <row r="277" spans="1:10" ht="40.5" customHeight="1">
      <c r="A277" s="295"/>
      <c r="B277" s="286"/>
      <c r="C277" s="287"/>
      <c r="D277" s="288"/>
      <c r="E277" s="288"/>
      <c r="F277" s="301"/>
      <c r="G277" s="290"/>
      <c r="H277" s="288"/>
      <c r="I277" s="107" t="s">
        <v>14</v>
      </c>
      <c r="J277" s="288"/>
    </row>
    <row r="278" spans="1:10" ht="40.5" customHeight="1">
      <c r="A278" s="295"/>
      <c r="B278" s="286">
        <v>82</v>
      </c>
      <c r="C278" s="287">
        <v>45775</v>
      </c>
      <c r="D278" s="288" t="s">
        <v>9</v>
      </c>
      <c r="E278" s="288" t="s">
        <v>10</v>
      </c>
      <c r="F278" s="301" t="s">
        <v>95</v>
      </c>
      <c r="G278" s="290" t="s">
        <v>119</v>
      </c>
      <c r="H278" s="288" t="s">
        <v>13</v>
      </c>
      <c r="I278" s="113" t="s">
        <v>120</v>
      </c>
      <c r="J278" s="288" t="s">
        <v>15</v>
      </c>
    </row>
    <row r="279" spans="1:10" ht="40.5" customHeight="1">
      <c r="A279" s="295"/>
      <c r="B279" s="286"/>
      <c r="C279" s="287"/>
      <c r="D279" s="288"/>
      <c r="E279" s="288"/>
      <c r="F279" s="301"/>
      <c r="G279" s="290"/>
      <c r="H279" s="288"/>
      <c r="I279" s="113" t="s">
        <v>121</v>
      </c>
      <c r="J279" s="288"/>
    </row>
    <row r="280" spans="1:10" ht="40.5" customHeight="1">
      <c r="A280" s="295"/>
      <c r="B280" s="286"/>
      <c r="C280" s="287"/>
      <c r="D280" s="288"/>
      <c r="E280" s="288"/>
      <c r="F280" s="301"/>
      <c r="G280" s="290"/>
      <c r="H280" s="288"/>
      <c r="I280" s="107" t="s">
        <v>14</v>
      </c>
      <c r="J280" s="288"/>
    </row>
    <row r="281" spans="1:10" ht="40.5" customHeight="1">
      <c r="A281" s="295"/>
      <c r="B281" s="286">
        <v>83</v>
      </c>
      <c r="C281" s="287">
        <v>45776</v>
      </c>
      <c r="D281" s="288" t="s">
        <v>9</v>
      </c>
      <c r="E281" s="288" t="s">
        <v>10</v>
      </c>
      <c r="F281" s="289" t="s">
        <v>11</v>
      </c>
      <c r="G281" s="290" t="s">
        <v>117</v>
      </c>
      <c r="H281" s="288" t="s">
        <v>13</v>
      </c>
      <c r="I281" s="299" t="s">
        <v>11</v>
      </c>
      <c r="J281" s="288" t="s">
        <v>11</v>
      </c>
    </row>
    <row r="282" spans="1:10" ht="40.5" customHeight="1">
      <c r="A282" s="295"/>
      <c r="B282" s="286"/>
      <c r="C282" s="287"/>
      <c r="D282" s="288"/>
      <c r="E282" s="288"/>
      <c r="F282" s="289"/>
      <c r="G282" s="290"/>
      <c r="H282" s="288"/>
      <c r="I282" s="299"/>
      <c r="J282" s="288"/>
    </row>
    <row r="283" spans="1:10" ht="40.5" customHeight="1">
      <c r="A283" s="295"/>
      <c r="B283" s="286">
        <v>84</v>
      </c>
      <c r="C283" s="287">
        <v>45777</v>
      </c>
      <c r="D283" s="288" t="s">
        <v>9</v>
      </c>
      <c r="E283" s="288" t="s">
        <v>10</v>
      </c>
      <c r="F283" s="289" t="s">
        <v>11</v>
      </c>
      <c r="G283" s="290" t="s">
        <v>122</v>
      </c>
      <c r="H283" s="288" t="s">
        <v>13</v>
      </c>
      <c r="I283" s="299" t="s">
        <v>11</v>
      </c>
      <c r="J283" s="288" t="s">
        <v>11</v>
      </c>
    </row>
    <row r="284" spans="1:10" ht="40.5" customHeight="1">
      <c r="A284" s="295"/>
      <c r="B284" s="286"/>
      <c r="C284" s="287"/>
      <c r="D284" s="288"/>
      <c r="E284" s="288"/>
      <c r="F284" s="289"/>
      <c r="G284" s="290"/>
      <c r="H284" s="288"/>
      <c r="I284" s="299"/>
      <c r="J284" s="288"/>
    </row>
    <row r="285" spans="1:10" ht="40.5" customHeight="1">
      <c r="A285" s="295"/>
      <c r="B285" s="286">
        <v>85</v>
      </c>
      <c r="C285" s="287">
        <v>45782</v>
      </c>
      <c r="D285" s="288" t="s">
        <v>9</v>
      </c>
      <c r="E285" s="288" t="s">
        <v>10</v>
      </c>
      <c r="F285" s="289" t="s">
        <v>123</v>
      </c>
      <c r="G285" s="290" t="s">
        <v>124</v>
      </c>
      <c r="H285" s="288" t="s">
        <v>13</v>
      </c>
      <c r="I285" s="107" t="s">
        <v>125</v>
      </c>
      <c r="J285" s="288" t="s">
        <v>15</v>
      </c>
    </row>
    <row r="286" spans="1:10" ht="40.5" customHeight="1">
      <c r="A286" s="295"/>
      <c r="B286" s="286"/>
      <c r="C286" s="287"/>
      <c r="D286" s="288"/>
      <c r="E286" s="288"/>
      <c r="F286" s="289"/>
      <c r="G286" s="290"/>
      <c r="H286" s="288"/>
      <c r="I286" s="107" t="s">
        <v>14</v>
      </c>
      <c r="J286" s="288"/>
    </row>
    <row r="287" spans="1:10" ht="40.5" customHeight="1">
      <c r="A287" s="295"/>
      <c r="B287" s="286">
        <v>86</v>
      </c>
      <c r="C287" s="287">
        <v>45783</v>
      </c>
      <c r="D287" s="288" t="s">
        <v>9</v>
      </c>
      <c r="E287" s="288" t="s">
        <v>10</v>
      </c>
      <c r="F287" s="289" t="s">
        <v>126</v>
      </c>
      <c r="G287" s="290" t="s">
        <v>127</v>
      </c>
      <c r="H287" s="288" t="s">
        <v>13</v>
      </c>
      <c r="I287" s="107" t="s">
        <v>128</v>
      </c>
      <c r="J287" s="288" t="s">
        <v>15</v>
      </c>
    </row>
    <row r="288" spans="1:10" ht="40.5" customHeight="1">
      <c r="A288" s="295"/>
      <c r="B288" s="286"/>
      <c r="C288" s="287"/>
      <c r="D288" s="288"/>
      <c r="E288" s="288"/>
      <c r="F288" s="289"/>
      <c r="G288" s="290"/>
      <c r="H288" s="288"/>
      <c r="I288" s="107" t="s">
        <v>14</v>
      </c>
      <c r="J288" s="288"/>
    </row>
    <row r="289" spans="1:10" ht="40.5" customHeight="1">
      <c r="A289" s="295"/>
      <c r="B289" s="286">
        <v>87</v>
      </c>
      <c r="C289" s="287">
        <v>45784</v>
      </c>
      <c r="D289" s="288" t="s">
        <v>9</v>
      </c>
      <c r="E289" s="288" t="s">
        <v>10</v>
      </c>
      <c r="F289" s="289" t="s">
        <v>126</v>
      </c>
      <c r="G289" s="290" t="s">
        <v>129</v>
      </c>
      <c r="H289" s="288" t="s">
        <v>13</v>
      </c>
      <c r="I289" s="107" t="s">
        <v>130</v>
      </c>
      <c r="J289" s="288" t="s">
        <v>15</v>
      </c>
    </row>
    <row r="290" spans="1:10" ht="40.5" customHeight="1">
      <c r="A290" s="295"/>
      <c r="B290" s="286"/>
      <c r="C290" s="287"/>
      <c r="D290" s="288"/>
      <c r="E290" s="288"/>
      <c r="F290" s="289"/>
      <c r="G290" s="290"/>
      <c r="H290" s="288"/>
      <c r="I290" s="107" t="s">
        <v>14</v>
      </c>
      <c r="J290" s="288"/>
    </row>
    <row r="291" spans="1:10" ht="40.5" customHeight="1">
      <c r="A291" s="295"/>
      <c r="B291" s="286">
        <v>87</v>
      </c>
      <c r="C291" s="287">
        <v>45785</v>
      </c>
      <c r="D291" s="288" t="s">
        <v>9</v>
      </c>
      <c r="E291" s="288" t="s">
        <v>10</v>
      </c>
      <c r="F291" s="289" t="s">
        <v>11</v>
      </c>
      <c r="G291" s="290" t="s">
        <v>131</v>
      </c>
      <c r="H291" s="288" t="s">
        <v>13</v>
      </c>
      <c r="I291" s="297" t="s">
        <v>132</v>
      </c>
      <c r="J291" s="288" t="s">
        <v>11</v>
      </c>
    </row>
    <row r="292" spans="1:10" ht="40.5" customHeight="1">
      <c r="A292" s="295"/>
      <c r="B292" s="286"/>
      <c r="C292" s="287"/>
      <c r="D292" s="288"/>
      <c r="E292" s="288"/>
      <c r="F292" s="289"/>
      <c r="G292" s="290"/>
      <c r="H292" s="288"/>
      <c r="I292" s="297"/>
      <c r="J292" s="288"/>
    </row>
    <row r="293" spans="1:10" ht="40.5" customHeight="1">
      <c r="A293" s="295"/>
      <c r="B293" s="286">
        <v>88</v>
      </c>
      <c r="C293" s="287">
        <v>45786</v>
      </c>
      <c r="D293" s="288" t="s">
        <v>9</v>
      </c>
      <c r="E293" s="288" t="s">
        <v>10</v>
      </c>
      <c r="F293" s="289" t="s">
        <v>11</v>
      </c>
      <c r="G293" s="290" t="s">
        <v>133</v>
      </c>
      <c r="H293" s="288" t="s">
        <v>13</v>
      </c>
      <c r="I293" s="297" t="s">
        <v>134</v>
      </c>
      <c r="J293" s="288" t="s">
        <v>11</v>
      </c>
    </row>
    <row r="294" spans="1:10" ht="40.5" customHeight="1">
      <c r="A294" s="295"/>
      <c r="B294" s="286"/>
      <c r="C294" s="287"/>
      <c r="D294" s="288"/>
      <c r="E294" s="288"/>
      <c r="F294" s="289"/>
      <c r="G294" s="290"/>
      <c r="H294" s="288"/>
      <c r="I294" s="297"/>
      <c r="J294" s="288"/>
    </row>
    <row r="295" spans="1:10" ht="40.5" customHeight="1">
      <c r="A295" s="295"/>
      <c r="B295" s="286">
        <v>88</v>
      </c>
      <c r="C295" s="287">
        <v>45787</v>
      </c>
      <c r="D295" s="288" t="s">
        <v>9</v>
      </c>
      <c r="E295" s="288" t="s">
        <v>10</v>
      </c>
      <c r="F295" s="289" t="s">
        <v>135</v>
      </c>
      <c r="G295" s="290" t="s">
        <v>136</v>
      </c>
      <c r="H295" s="288" t="s">
        <v>13</v>
      </c>
      <c r="I295" s="107" t="s">
        <v>130</v>
      </c>
      <c r="J295" s="288" t="s">
        <v>15</v>
      </c>
    </row>
    <row r="296" spans="1:10" ht="40.5" customHeight="1">
      <c r="A296" s="295"/>
      <c r="B296" s="286"/>
      <c r="C296" s="287"/>
      <c r="D296" s="288"/>
      <c r="E296" s="288"/>
      <c r="F296" s="289"/>
      <c r="G296" s="290"/>
      <c r="H296" s="288"/>
      <c r="I296" s="107" t="s">
        <v>137</v>
      </c>
      <c r="J296" s="288"/>
    </row>
    <row r="297" spans="1:10" ht="40.5" customHeight="1">
      <c r="A297" s="295"/>
      <c r="B297" s="286"/>
      <c r="C297" s="287"/>
      <c r="D297" s="288"/>
      <c r="E297" s="288"/>
      <c r="F297" s="289"/>
      <c r="G297" s="290"/>
      <c r="H297" s="288"/>
      <c r="I297" s="107" t="s">
        <v>14</v>
      </c>
      <c r="J297" s="288"/>
    </row>
    <row r="298" spans="1:10" ht="40.5" customHeight="1">
      <c r="A298" s="295"/>
      <c r="B298" s="286">
        <v>89</v>
      </c>
      <c r="C298" s="287">
        <v>45790</v>
      </c>
      <c r="D298" s="288" t="s">
        <v>9</v>
      </c>
      <c r="E298" s="288" t="s">
        <v>10</v>
      </c>
      <c r="F298" s="289" t="s">
        <v>126</v>
      </c>
      <c r="G298" s="290" t="s">
        <v>138</v>
      </c>
      <c r="H298" s="288" t="s">
        <v>13</v>
      </c>
      <c r="I298" s="107" t="s">
        <v>130</v>
      </c>
      <c r="J298" s="288" t="s">
        <v>15</v>
      </c>
    </row>
    <row r="299" spans="1:10" ht="40.5" customHeight="1">
      <c r="A299" s="295"/>
      <c r="B299" s="286"/>
      <c r="C299" s="287"/>
      <c r="D299" s="288"/>
      <c r="E299" s="288"/>
      <c r="F299" s="289"/>
      <c r="G299" s="290"/>
      <c r="H299" s="288"/>
      <c r="I299" s="107" t="s">
        <v>14</v>
      </c>
      <c r="J299" s="288"/>
    </row>
    <row r="300" spans="1:10" ht="40.5" customHeight="1">
      <c r="A300" s="295"/>
      <c r="B300" s="286">
        <v>90</v>
      </c>
      <c r="C300" s="287">
        <v>45791</v>
      </c>
      <c r="D300" s="288" t="s">
        <v>9</v>
      </c>
      <c r="E300" s="288" t="s">
        <v>10</v>
      </c>
      <c r="F300" s="289" t="s">
        <v>139</v>
      </c>
      <c r="G300" s="290" t="s">
        <v>140</v>
      </c>
      <c r="H300" s="288" t="s">
        <v>13</v>
      </c>
      <c r="I300" s="107" t="s">
        <v>141</v>
      </c>
      <c r="J300" s="288" t="s">
        <v>15</v>
      </c>
    </row>
    <row r="301" spans="1:10" ht="64.5" customHeight="1">
      <c r="A301" s="295"/>
      <c r="B301" s="286"/>
      <c r="C301" s="287"/>
      <c r="D301" s="288"/>
      <c r="E301" s="288"/>
      <c r="F301" s="289"/>
      <c r="G301" s="290"/>
      <c r="H301" s="288"/>
      <c r="I301" s="107" t="s">
        <v>14</v>
      </c>
      <c r="J301" s="288"/>
    </row>
    <row r="302" spans="1:10" ht="40.5" customHeight="1">
      <c r="A302" s="295"/>
      <c r="B302" s="286">
        <v>91</v>
      </c>
      <c r="C302" s="287">
        <v>45792</v>
      </c>
      <c r="D302" s="288" t="s">
        <v>9</v>
      </c>
      <c r="E302" s="288" t="s">
        <v>10</v>
      </c>
      <c r="F302" s="289" t="s">
        <v>142</v>
      </c>
      <c r="G302" s="290" t="s">
        <v>143</v>
      </c>
      <c r="H302" s="288" t="s">
        <v>13</v>
      </c>
      <c r="I302" s="107" t="s">
        <v>144</v>
      </c>
      <c r="J302" s="288" t="s">
        <v>11</v>
      </c>
    </row>
    <row r="303" spans="1:10" ht="54.75" customHeight="1">
      <c r="A303" s="295"/>
      <c r="B303" s="286"/>
      <c r="C303" s="287"/>
      <c r="D303" s="288"/>
      <c r="E303" s="288"/>
      <c r="F303" s="289"/>
      <c r="G303" s="290"/>
      <c r="H303" s="288"/>
      <c r="I303" s="107" t="s">
        <v>14</v>
      </c>
      <c r="J303" s="288"/>
    </row>
    <row r="304" spans="1:10" ht="40.5" customHeight="1">
      <c r="A304" s="295"/>
      <c r="B304" s="286">
        <v>92</v>
      </c>
      <c r="C304" s="287">
        <v>45793</v>
      </c>
      <c r="D304" s="288" t="s">
        <v>9</v>
      </c>
      <c r="E304" s="288" t="s">
        <v>10</v>
      </c>
      <c r="F304" s="289" t="s">
        <v>142</v>
      </c>
      <c r="G304" s="290" t="s">
        <v>145</v>
      </c>
      <c r="H304" s="288" t="s">
        <v>13</v>
      </c>
      <c r="I304" s="107" t="s">
        <v>144</v>
      </c>
      <c r="J304" s="288" t="s">
        <v>11</v>
      </c>
    </row>
    <row r="305" spans="1:10" ht="40.5" customHeight="1">
      <c r="A305" s="295"/>
      <c r="B305" s="286"/>
      <c r="C305" s="287"/>
      <c r="D305" s="288"/>
      <c r="E305" s="288"/>
      <c r="F305" s="289"/>
      <c r="G305" s="290"/>
      <c r="H305" s="288"/>
      <c r="I305" s="107" t="s">
        <v>14</v>
      </c>
      <c r="J305" s="288"/>
    </row>
    <row r="306" spans="1:10" ht="40.5" customHeight="1">
      <c r="A306" s="295"/>
      <c r="B306" s="286">
        <v>93</v>
      </c>
      <c r="C306" s="287">
        <v>45794</v>
      </c>
      <c r="D306" s="288" t="s">
        <v>9</v>
      </c>
      <c r="E306" s="288" t="s">
        <v>10</v>
      </c>
      <c r="F306" s="289" t="s">
        <v>146</v>
      </c>
      <c r="G306" s="290" t="s">
        <v>147</v>
      </c>
      <c r="H306" s="288" t="s">
        <v>13</v>
      </c>
      <c r="I306" s="107" t="s">
        <v>148</v>
      </c>
      <c r="J306" s="288" t="s">
        <v>15</v>
      </c>
    </row>
    <row r="307" spans="1:10" ht="40.5" customHeight="1">
      <c r="A307" s="295"/>
      <c r="B307" s="286"/>
      <c r="C307" s="287"/>
      <c r="D307" s="288"/>
      <c r="E307" s="288"/>
      <c r="F307" s="289"/>
      <c r="G307" s="290"/>
      <c r="H307" s="288"/>
      <c r="I307" s="107" t="s">
        <v>14</v>
      </c>
      <c r="J307" s="288"/>
    </row>
    <row r="308" spans="1:10" ht="45" customHeight="1">
      <c r="A308" s="295"/>
      <c r="B308" s="286">
        <v>94</v>
      </c>
      <c r="C308" s="287">
        <v>45796</v>
      </c>
      <c r="D308" s="288" t="s">
        <v>9</v>
      </c>
      <c r="E308" s="288" t="s">
        <v>10</v>
      </c>
      <c r="F308" s="289" t="s">
        <v>11</v>
      </c>
      <c r="G308" s="290" t="s">
        <v>149</v>
      </c>
      <c r="H308" s="288" t="s">
        <v>13</v>
      </c>
      <c r="I308" s="107" t="s">
        <v>150</v>
      </c>
      <c r="J308" s="288" t="s">
        <v>11</v>
      </c>
    </row>
    <row r="309" spans="1:10" ht="36" customHeight="1">
      <c r="A309" s="295"/>
      <c r="B309" s="286"/>
      <c r="C309" s="287"/>
      <c r="D309" s="288"/>
      <c r="E309" s="288"/>
      <c r="F309" s="289"/>
      <c r="G309" s="290"/>
      <c r="H309" s="288"/>
      <c r="I309" s="107" t="s">
        <v>14</v>
      </c>
      <c r="J309" s="288"/>
    </row>
    <row r="310" spans="1:10" ht="39.75" customHeight="1">
      <c r="A310" s="295"/>
      <c r="B310" s="286">
        <v>95</v>
      </c>
      <c r="C310" s="287">
        <v>45797</v>
      </c>
      <c r="D310" s="288" t="s">
        <v>9</v>
      </c>
      <c r="E310" s="288" t="s">
        <v>10</v>
      </c>
      <c r="F310" s="289" t="s">
        <v>11</v>
      </c>
      <c r="G310" s="290" t="s">
        <v>151</v>
      </c>
      <c r="H310" s="288" t="s">
        <v>13</v>
      </c>
      <c r="I310" s="107" t="s">
        <v>150</v>
      </c>
      <c r="J310" s="288" t="s">
        <v>11</v>
      </c>
    </row>
    <row r="311" spans="1:10" ht="45.75" customHeight="1">
      <c r="A311" s="295"/>
      <c r="B311" s="286"/>
      <c r="C311" s="287"/>
      <c r="D311" s="288"/>
      <c r="E311" s="288"/>
      <c r="F311" s="289"/>
      <c r="G311" s="290"/>
      <c r="H311" s="288"/>
      <c r="I311" s="107" t="s">
        <v>14</v>
      </c>
      <c r="J311" s="288"/>
    </row>
    <row r="312" spans="1:10" ht="57.75" customHeight="1">
      <c r="A312" s="295"/>
      <c r="B312" s="286">
        <v>96</v>
      </c>
      <c r="C312" s="287">
        <v>45798</v>
      </c>
      <c r="D312" s="288" t="s">
        <v>9</v>
      </c>
      <c r="E312" s="288" t="s">
        <v>10</v>
      </c>
      <c r="F312" s="289" t="s">
        <v>146</v>
      </c>
      <c r="G312" s="290" t="s">
        <v>152</v>
      </c>
      <c r="H312" s="288" t="s">
        <v>13</v>
      </c>
      <c r="I312" s="107" t="s">
        <v>153</v>
      </c>
      <c r="J312" s="288" t="s">
        <v>15</v>
      </c>
    </row>
    <row r="313" spans="1:10" ht="57.75" customHeight="1">
      <c r="A313" s="295"/>
      <c r="B313" s="286"/>
      <c r="C313" s="287"/>
      <c r="D313" s="288"/>
      <c r="E313" s="288"/>
      <c r="F313" s="289"/>
      <c r="G313" s="290"/>
      <c r="H313" s="288"/>
      <c r="I313" s="107" t="s">
        <v>14</v>
      </c>
      <c r="J313" s="288"/>
    </row>
    <row r="314" spans="1:10" ht="48" customHeight="1">
      <c r="A314" s="295"/>
      <c r="B314" s="286">
        <v>97</v>
      </c>
      <c r="C314" s="287">
        <v>45799</v>
      </c>
      <c r="D314" s="288" t="s">
        <v>9</v>
      </c>
      <c r="E314" s="288" t="s">
        <v>10</v>
      </c>
      <c r="F314" s="77" t="s">
        <v>154</v>
      </c>
      <c r="G314" s="2" t="s">
        <v>155</v>
      </c>
      <c r="H314" s="288" t="s">
        <v>13</v>
      </c>
      <c r="I314" s="107" t="s">
        <v>156</v>
      </c>
      <c r="J314" s="288" t="s">
        <v>15</v>
      </c>
    </row>
    <row r="315" spans="1:10" ht="44.25" customHeight="1">
      <c r="A315" s="295"/>
      <c r="B315" s="286"/>
      <c r="C315" s="287"/>
      <c r="D315" s="288"/>
      <c r="E315" s="288"/>
      <c r="F315" s="289" t="s">
        <v>139</v>
      </c>
      <c r="G315" s="298" t="s">
        <v>157</v>
      </c>
      <c r="H315" s="288"/>
      <c r="I315" s="107" t="s">
        <v>158</v>
      </c>
      <c r="J315" s="288"/>
    </row>
    <row r="316" spans="1:10" ht="14.25" customHeight="1">
      <c r="A316" s="295"/>
      <c r="B316" s="286"/>
      <c r="C316" s="287"/>
      <c r="D316" s="288"/>
      <c r="E316" s="288"/>
      <c r="F316" s="289"/>
      <c r="G316" s="298"/>
      <c r="H316" s="288"/>
      <c r="I316" s="297" t="s">
        <v>159</v>
      </c>
      <c r="J316" s="288"/>
    </row>
    <row r="317" spans="1:10" ht="42.75" customHeight="1">
      <c r="A317" s="295"/>
      <c r="B317" s="286"/>
      <c r="C317" s="287"/>
      <c r="D317" s="288"/>
      <c r="E317" s="288"/>
      <c r="F317" s="289"/>
      <c r="G317" s="298"/>
      <c r="H317" s="288"/>
      <c r="I317" s="290"/>
      <c r="J317" s="288"/>
    </row>
    <row r="318" spans="1:10" ht="34.5" customHeight="1">
      <c r="A318" s="295"/>
      <c r="B318" s="286">
        <v>98</v>
      </c>
      <c r="C318" s="287">
        <v>45800</v>
      </c>
      <c r="D318" s="288" t="s">
        <v>9</v>
      </c>
      <c r="E318" s="288" t="s">
        <v>10</v>
      </c>
      <c r="F318" s="289" t="s">
        <v>154</v>
      </c>
      <c r="G318" s="290" t="s">
        <v>160</v>
      </c>
      <c r="H318" s="288" t="s">
        <v>13</v>
      </c>
      <c r="I318" s="107" t="s">
        <v>161</v>
      </c>
      <c r="J318" s="288" t="s">
        <v>19</v>
      </c>
    </row>
    <row r="319" spans="1:10" ht="33" customHeight="1">
      <c r="A319" s="295"/>
      <c r="B319" s="286"/>
      <c r="C319" s="287"/>
      <c r="D319" s="288"/>
      <c r="E319" s="288"/>
      <c r="F319" s="289"/>
      <c r="G319" s="290"/>
      <c r="H319" s="288"/>
      <c r="I319" s="107" t="s">
        <v>159</v>
      </c>
      <c r="J319" s="288"/>
    </row>
    <row r="320" spans="1:10" ht="53.25" customHeight="1">
      <c r="A320" s="295"/>
      <c r="B320" s="286">
        <v>98</v>
      </c>
      <c r="C320" s="287">
        <v>45801</v>
      </c>
      <c r="D320" s="288" t="s">
        <v>9</v>
      </c>
      <c r="E320" s="288" t="s">
        <v>10</v>
      </c>
      <c r="F320" s="289" t="s">
        <v>162</v>
      </c>
      <c r="G320" s="290" t="s">
        <v>163</v>
      </c>
      <c r="H320" s="288" t="s">
        <v>13</v>
      </c>
      <c r="I320" s="107" t="s">
        <v>164</v>
      </c>
      <c r="J320" s="288" t="s">
        <v>19</v>
      </c>
    </row>
    <row r="321" spans="1:10" ht="30.75" customHeight="1">
      <c r="A321" s="295"/>
      <c r="B321" s="286"/>
      <c r="C321" s="287"/>
      <c r="D321" s="288"/>
      <c r="E321" s="288"/>
      <c r="F321" s="289"/>
      <c r="G321" s="290"/>
      <c r="H321" s="288"/>
      <c r="I321" s="107" t="s">
        <v>159</v>
      </c>
      <c r="J321" s="288"/>
    </row>
    <row r="322" spans="1:10" ht="31.5" customHeight="1">
      <c r="A322" s="295"/>
      <c r="B322" s="286">
        <v>99</v>
      </c>
      <c r="C322" s="287">
        <v>45803</v>
      </c>
      <c r="D322" s="288" t="s">
        <v>9</v>
      </c>
      <c r="E322" s="288" t="s">
        <v>10</v>
      </c>
      <c r="F322" s="289" t="s">
        <v>11</v>
      </c>
      <c r="G322" s="290" t="s">
        <v>165</v>
      </c>
      <c r="H322" s="288" t="s">
        <v>13</v>
      </c>
      <c r="I322" s="291" t="s">
        <v>11</v>
      </c>
      <c r="J322" s="288" t="s">
        <v>11</v>
      </c>
    </row>
    <row r="323" spans="1:10" ht="33.75" customHeight="1">
      <c r="A323" s="295"/>
      <c r="B323" s="286"/>
      <c r="C323" s="287"/>
      <c r="D323" s="288"/>
      <c r="E323" s="288"/>
      <c r="F323" s="289"/>
      <c r="G323" s="290"/>
      <c r="H323" s="288"/>
      <c r="I323" s="292"/>
      <c r="J323" s="288"/>
    </row>
    <row r="324" spans="1:10" ht="32.25" customHeight="1">
      <c r="A324" s="295"/>
      <c r="B324" s="286">
        <v>100</v>
      </c>
      <c r="C324" s="287">
        <v>45804</v>
      </c>
      <c r="D324" s="288" t="s">
        <v>9</v>
      </c>
      <c r="E324" s="288" t="s">
        <v>10</v>
      </c>
      <c r="F324" s="289" t="s">
        <v>11</v>
      </c>
      <c r="G324" s="290" t="s">
        <v>165</v>
      </c>
      <c r="H324" s="288" t="s">
        <v>13</v>
      </c>
      <c r="I324" s="291" t="s">
        <v>11</v>
      </c>
      <c r="J324" s="288" t="s">
        <v>11</v>
      </c>
    </row>
    <row r="325" spans="1:10" ht="31.5" customHeight="1">
      <c r="A325" s="295"/>
      <c r="B325" s="286"/>
      <c r="C325" s="287"/>
      <c r="D325" s="288"/>
      <c r="E325" s="288"/>
      <c r="F325" s="289"/>
      <c r="G325" s="290"/>
      <c r="H325" s="288"/>
      <c r="I325" s="292"/>
      <c r="J325" s="288"/>
    </row>
    <row r="326" spans="1:10" ht="25.5" customHeight="1">
      <c r="A326" s="295"/>
      <c r="B326" s="286">
        <v>101</v>
      </c>
      <c r="C326" s="287">
        <v>45805</v>
      </c>
      <c r="D326" s="288" t="s">
        <v>9</v>
      </c>
      <c r="E326" s="288" t="s">
        <v>10</v>
      </c>
      <c r="F326" s="289" t="s">
        <v>11</v>
      </c>
      <c r="G326" s="290" t="s">
        <v>165</v>
      </c>
      <c r="H326" s="288" t="s">
        <v>13</v>
      </c>
      <c r="I326" s="291" t="s">
        <v>11</v>
      </c>
      <c r="J326" s="288" t="s">
        <v>11</v>
      </c>
    </row>
    <row r="327" spans="1:10" ht="29.25" customHeight="1">
      <c r="A327" s="295"/>
      <c r="B327" s="286"/>
      <c r="C327" s="287"/>
      <c r="D327" s="288"/>
      <c r="E327" s="288"/>
      <c r="F327" s="289"/>
      <c r="G327" s="290"/>
      <c r="H327" s="288"/>
      <c r="I327" s="292"/>
      <c r="J327" s="288"/>
    </row>
    <row r="328" spans="1:10" ht="31.5" customHeight="1">
      <c r="A328" s="295"/>
      <c r="B328" s="286">
        <v>101</v>
      </c>
      <c r="C328" s="287">
        <v>45806</v>
      </c>
      <c r="D328" s="288" t="s">
        <v>9</v>
      </c>
      <c r="E328" s="288" t="s">
        <v>10</v>
      </c>
      <c r="F328" s="289" t="s">
        <v>11</v>
      </c>
      <c r="G328" s="290" t="s">
        <v>166</v>
      </c>
      <c r="H328" s="288" t="s">
        <v>13</v>
      </c>
      <c r="I328" s="291" t="s">
        <v>11</v>
      </c>
      <c r="J328" s="288" t="s">
        <v>11</v>
      </c>
    </row>
    <row r="329" spans="1:10" ht="30.75" customHeight="1">
      <c r="A329" s="295"/>
      <c r="B329" s="286"/>
      <c r="C329" s="287"/>
      <c r="D329" s="288"/>
      <c r="E329" s="288"/>
      <c r="F329" s="289"/>
      <c r="G329" s="290"/>
      <c r="H329" s="288"/>
      <c r="I329" s="292"/>
      <c r="J329" s="288"/>
    </row>
    <row r="330" spans="1:10" ht="22.5" customHeight="1">
      <c r="B330" s="286">
        <v>101</v>
      </c>
      <c r="C330" s="287">
        <v>45807</v>
      </c>
      <c r="D330" s="288" t="s">
        <v>9</v>
      </c>
      <c r="E330" s="288" t="s">
        <v>10</v>
      </c>
      <c r="F330" s="289" t="s">
        <v>11</v>
      </c>
      <c r="G330" s="290" t="s">
        <v>166</v>
      </c>
      <c r="H330" s="288" t="s">
        <v>13</v>
      </c>
      <c r="I330" s="291" t="s">
        <v>11</v>
      </c>
      <c r="J330" s="288" t="s">
        <v>11</v>
      </c>
    </row>
    <row r="331" spans="1:10" ht="26.25" customHeight="1">
      <c r="B331" s="286"/>
      <c r="C331" s="287"/>
      <c r="D331" s="288"/>
      <c r="E331" s="288"/>
      <c r="F331" s="289"/>
      <c r="G331" s="290"/>
      <c r="H331" s="288"/>
      <c r="I331" s="292"/>
      <c r="J331" s="288"/>
    </row>
    <row r="332" spans="1:10" ht="30.75" customHeight="1">
      <c r="B332" s="286">
        <v>102</v>
      </c>
      <c r="C332" s="287">
        <v>45808</v>
      </c>
      <c r="D332" s="288" t="s">
        <v>9</v>
      </c>
      <c r="E332" s="288" t="s">
        <v>10</v>
      </c>
      <c r="F332" s="289" t="s">
        <v>11</v>
      </c>
      <c r="G332" s="290" t="s">
        <v>166</v>
      </c>
      <c r="H332" s="288" t="s">
        <v>13</v>
      </c>
      <c r="I332" s="291" t="s">
        <v>11</v>
      </c>
      <c r="J332" s="288" t="s">
        <v>11</v>
      </c>
    </row>
    <row r="333" spans="1:10" ht="42" customHeight="1">
      <c r="B333" s="286"/>
      <c r="C333" s="287"/>
      <c r="D333" s="288"/>
      <c r="E333" s="288"/>
      <c r="F333" s="289"/>
      <c r="G333" s="290"/>
      <c r="H333" s="288"/>
      <c r="I333" s="292"/>
      <c r="J333" s="288"/>
    </row>
    <row r="334" spans="1:10" ht="32.25" customHeight="1">
      <c r="B334" s="286">
        <v>103</v>
      </c>
      <c r="C334" s="287">
        <v>45810</v>
      </c>
      <c r="D334" s="288" t="s">
        <v>9</v>
      </c>
      <c r="E334" s="288" t="s">
        <v>10</v>
      </c>
      <c r="F334" s="289" t="s">
        <v>11</v>
      </c>
      <c r="G334" s="290" t="s">
        <v>166</v>
      </c>
      <c r="H334" s="288" t="s">
        <v>13</v>
      </c>
      <c r="I334" s="291" t="s">
        <v>11</v>
      </c>
      <c r="J334" s="288" t="s">
        <v>11</v>
      </c>
    </row>
    <row r="335" spans="1:10" ht="33.75" customHeight="1">
      <c r="B335" s="286"/>
      <c r="C335" s="287"/>
      <c r="D335" s="288"/>
      <c r="E335" s="288"/>
      <c r="F335" s="289"/>
      <c r="G335" s="290"/>
      <c r="H335" s="288"/>
      <c r="I335" s="292"/>
      <c r="J335" s="288"/>
    </row>
    <row r="336" spans="1:10" ht="24" customHeight="1">
      <c r="B336" s="286">
        <v>104</v>
      </c>
      <c r="C336" s="287">
        <v>45811</v>
      </c>
      <c r="D336" s="288" t="s">
        <v>9</v>
      </c>
      <c r="E336" s="288" t="s">
        <v>10</v>
      </c>
      <c r="F336" s="289" t="s">
        <v>11</v>
      </c>
      <c r="G336" s="290" t="s">
        <v>166</v>
      </c>
      <c r="H336" s="288" t="s">
        <v>13</v>
      </c>
      <c r="I336" s="291" t="s">
        <v>11</v>
      </c>
      <c r="J336" s="288" t="s">
        <v>11</v>
      </c>
    </row>
    <row r="337" spans="2:10" ht="30" customHeight="1">
      <c r="B337" s="286"/>
      <c r="C337" s="287"/>
      <c r="D337" s="288"/>
      <c r="E337" s="288"/>
      <c r="F337" s="289"/>
      <c r="G337" s="290"/>
      <c r="H337" s="288"/>
      <c r="I337" s="292"/>
      <c r="J337" s="288"/>
    </row>
    <row r="338" spans="2:10" ht="14.25" customHeight="1">
      <c r="B338" s="286">
        <v>105</v>
      </c>
      <c r="C338" s="287">
        <v>45812</v>
      </c>
      <c r="D338" s="288" t="s">
        <v>9</v>
      </c>
      <c r="E338" s="288" t="s">
        <v>10</v>
      </c>
      <c r="F338" s="289" t="s">
        <v>11</v>
      </c>
      <c r="G338" s="290" t="s">
        <v>166</v>
      </c>
      <c r="H338" s="288" t="s">
        <v>13</v>
      </c>
      <c r="I338" s="291" t="s">
        <v>11</v>
      </c>
      <c r="J338" s="288" t="s">
        <v>11</v>
      </c>
    </row>
    <row r="339" spans="2:10" ht="14.25" customHeight="1">
      <c r="B339" s="286"/>
      <c r="C339" s="287"/>
      <c r="D339" s="288"/>
      <c r="E339" s="288"/>
      <c r="F339" s="289"/>
      <c r="G339" s="290"/>
      <c r="H339" s="288"/>
      <c r="I339" s="292"/>
      <c r="J339" s="288"/>
    </row>
    <row r="340" spans="2:10" ht="28.5" customHeight="1">
      <c r="B340" s="286">
        <v>106</v>
      </c>
      <c r="C340" s="287">
        <v>45813</v>
      </c>
      <c r="D340" s="288" t="s">
        <v>9</v>
      </c>
      <c r="E340" s="288" t="s">
        <v>10</v>
      </c>
      <c r="F340" s="289" t="s">
        <v>11</v>
      </c>
      <c r="G340" s="290" t="s">
        <v>166</v>
      </c>
      <c r="H340" s="288" t="s">
        <v>13</v>
      </c>
      <c r="I340" s="291" t="s">
        <v>11</v>
      </c>
      <c r="J340" s="288" t="s">
        <v>11</v>
      </c>
    </row>
    <row r="341" spans="2:10" ht="26.25" customHeight="1">
      <c r="B341" s="286"/>
      <c r="C341" s="287"/>
      <c r="D341" s="288"/>
      <c r="E341" s="288"/>
      <c r="F341" s="289"/>
      <c r="G341" s="290"/>
      <c r="H341" s="288"/>
      <c r="I341" s="292"/>
      <c r="J341" s="288"/>
    </row>
    <row r="342" spans="2:10" ht="27.75" customHeight="1">
      <c r="B342" s="286">
        <v>107</v>
      </c>
      <c r="C342" s="287">
        <v>45814</v>
      </c>
      <c r="D342" s="288" t="s">
        <v>9</v>
      </c>
      <c r="E342" s="288" t="s">
        <v>10</v>
      </c>
      <c r="F342" s="289" t="s">
        <v>11</v>
      </c>
      <c r="G342" s="290" t="s">
        <v>167</v>
      </c>
      <c r="H342" s="288" t="s">
        <v>13</v>
      </c>
      <c r="I342" s="293" t="s">
        <v>168</v>
      </c>
      <c r="J342" s="288" t="s">
        <v>11</v>
      </c>
    </row>
    <row r="343" spans="2:10" ht="87.75" customHeight="1">
      <c r="B343" s="286"/>
      <c r="C343" s="287"/>
      <c r="D343" s="288"/>
      <c r="E343" s="288"/>
      <c r="F343" s="289"/>
      <c r="G343" s="290"/>
      <c r="H343" s="288"/>
      <c r="I343" s="294"/>
      <c r="J343" s="288"/>
    </row>
    <row r="344" spans="2:10" ht="45" customHeight="1">
      <c r="B344" s="286">
        <v>108</v>
      </c>
      <c r="C344" s="287">
        <v>45817</v>
      </c>
      <c r="D344" s="288" t="s">
        <v>9</v>
      </c>
      <c r="E344" s="288" t="s">
        <v>10</v>
      </c>
      <c r="F344" s="289" t="s">
        <v>11</v>
      </c>
      <c r="G344" s="290" t="s">
        <v>167</v>
      </c>
      <c r="H344" s="288" t="s">
        <v>13</v>
      </c>
      <c r="I344" s="293" t="s">
        <v>168</v>
      </c>
      <c r="J344" s="288" t="s">
        <v>11</v>
      </c>
    </row>
    <row r="345" spans="2:10" ht="71.25" customHeight="1">
      <c r="B345" s="286"/>
      <c r="C345" s="287"/>
      <c r="D345" s="288"/>
      <c r="E345" s="288"/>
      <c r="F345" s="289"/>
      <c r="G345" s="290"/>
      <c r="H345" s="288"/>
      <c r="I345" s="294"/>
      <c r="J345" s="288"/>
    </row>
    <row r="346" spans="2:10" ht="66.75" customHeight="1">
      <c r="B346" s="286">
        <v>109</v>
      </c>
      <c r="C346" s="287">
        <v>45818</v>
      </c>
      <c r="D346" s="288" t="s">
        <v>9</v>
      </c>
      <c r="E346" s="288" t="s">
        <v>10</v>
      </c>
      <c r="F346" s="289" t="s">
        <v>11</v>
      </c>
      <c r="G346" s="290" t="s">
        <v>167</v>
      </c>
      <c r="H346" s="288" t="s">
        <v>13</v>
      </c>
      <c r="I346" s="293" t="s">
        <v>168</v>
      </c>
      <c r="J346" s="288" t="s">
        <v>11</v>
      </c>
    </row>
    <row r="347" spans="2:10" ht="62.25" customHeight="1">
      <c r="B347" s="286"/>
      <c r="C347" s="287"/>
      <c r="D347" s="288"/>
      <c r="E347" s="288"/>
      <c r="F347" s="289"/>
      <c r="G347" s="290"/>
      <c r="H347" s="288"/>
      <c r="I347" s="294"/>
      <c r="J347" s="288"/>
    </row>
    <row r="348" spans="2:10" ht="48" customHeight="1">
      <c r="B348" s="286">
        <v>110</v>
      </c>
      <c r="C348" s="287">
        <v>45819</v>
      </c>
      <c r="D348" s="288" t="s">
        <v>9</v>
      </c>
      <c r="E348" s="288" t="s">
        <v>10</v>
      </c>
      <c r="F348" s="289" t="s">
        <v>11</v>
      </c>
      <c r="G348" s="290" t="s">
        <v>167</v>
      </c>
      <c r="H348" s="288" t="s">
        <v>13</v>
      </c>
      <c r="I348" s="293" t="s">
        <v>168</v>
      </c>
      <c r="J348" s="288" t="s">
        <v>11</v>
      </c>
    </row>
    <row r="349" spans="2:10" ht="66" customHeight="1">
      <c r="B349" s="286"/>
      <c r="C349" s="287"/>
      <c r="D349" s="288"/>
      <c r="E349" s="288"/>
      <c r="F349" s="289"/>
      <c r="G349" s="290"/>
      <c r="H349" s="288"/>
      <c r="I349" s="294"/>
      <c r="J349" s="288"/>
    </row>
    <row r="350" spans="2:10" ht="42.75" customHeight="1">
      <c r="B350" s="286">
        <v>111</v>
      </c>
      <c r="C350" s="287">
        <v>45820</v>
      </c>
      <c r="D350" s="288" t="s">
        <v>9</v>
      </c>
      <c r="E350" s="288" t="s">
        <v>10</v>
      </c>
      <c r="F350" s="289" t="s">
        <v>11</v>
      </c>
      <c r="G350" s="290" t="s">
        <v>169</v>
      </c>
      <c r="H350" s="288" t="s">
        <v>13</v>
      </c>
      <c r="I350" s="293" t="s">
        <v>168</v>
      </c>
      <c r="J350" s="288" t="s">
        <v>11</v>
      </c>
    </row>
    <row r="351" spans="2:10" ht="57.75" customHeight="1">
      <c r="B351" s="286"/>
      <c r="C351" s="287"/>
      <c r="D351" s="288"/>
      <c r="E351" s="288"/>
      <c r="F351" s="289"/>
      <c r="G351" s="290"/>
      <c r="H351" s="288"/>
      <c r="I351" s="294"/>
      <c r="J351" s="288"/>
    </row>
    <row r="352" spans="2:10" ht="39" customHeight="1">
      <c r="B352" s="286">
        <v>112</v>
      </c>
      <c r="C352" s="287">
        <v>45821</v>
      </c>
      <c r="D352" s="288" t="s">
        <v>9</v>
      </c>
      <c r="E352" s="288" t="s">
        <v>10</v>
      </c>
      <c r="F352" s="289" t="s">
        <v>11</v>
      </c>
      <c r="G352" s="290" t="s">
        <v>169</v>
      </c>
      <c r="H352" s="288" t="s">
        <v>13</v>
      </c>
      <c r="I352" s="293" t="s">
        <v>168</v>
      </c>
      <c r="J352" s="288" t="s">
        <v>11</v>
      </c>
    </row>
    <row r="353" spans="2:10" ht="43.5" customHeight="1">
      <c r="B353" s="286"/>
      <c r="C353" s="287"/>
      <c r="D353" s="288"/>
      <c r="E353" s="288"/>
      <c r="F353" s="289"/>
      <c r="G353" s="290"/>
      <c r="H353" s="288"/>
      <c r="I353" s="294"/>
      <c r="J353" s="288"/>
    </row>
    <row r="354" spans="2:10" ht="50.25" customHeight="1">
      <c r="B354" s="286">
        <v>113</v>
      </c>
      <c r="C354" s="287">
        <v>45822</v>
      </c>
      <c r="D354" s="288" t="s">
        <v>9</v>
      </c>
      <c r="E354" s="288" t="s">
        <v>10</v>
      </c>
      <c r="F354" s="289" t="s">
        <v>11</v>
      </c>
      <c r="G354" s="290" t="s">
        <v>169</v>
      </c>
      <c r="H354" s="288" t="s">
        <v>13</v>
      </c>
      <c r="I354" s="293" t="s">
        <v>168</v>
      </c>
      <c r="J354" s="288" t="s">
        <v>11</v>
      </c>
    </row>
    <row r="355" spans="2:10" ht="37.5" customHeight="1">
      <c r="B355" s="286"/>
      <c r="C355" s="287"/>
      <c r="D355" s="288"/>
      <c r="E355" s="288"/>
      <c r="F355" s="289"/>
      <c r="G355" s="290"/>
      <c r="H355" s="288"/>
      <c r="I355" s="294"/>
      <c r="J355" s="288"/>
    </row>
    <row r="356" spans="2:10" ht="36.75" customHeight="1">
      <c r="B356" s="286">
        <v>114</v>
      </c>
      <c r="C356" s="287">
        <v>45824</v>
      </c>
      <c r="D356" s="288" t="s">
        <v>9</v>
      </c>
      <c r="E356" s="288" t="s">
        <v>10</v>
      </c>
      <c r="F356" s="289" t="s">
        <v>11</v>
      </c>
      <c r="G356" s="290" t="s">
        <v>169</v>
      </c>
      <c r="H356" s="288" t="s">
        <v>13</v>
      </c>
      <c r="I356" s="293" t="s">
        <v>168</v>
      </c>
      <c r="J356" s="288" t="s">
        <v>11</v>
      </c>
    </row>
    <row r="357" spans="2:10" ht="41.25" customHeight="1">
      <c r="B357" s="286"/>
      <c r="C357" s="287"/>
      <c r="D357" s="288"/>
      <c r="E357" s="288"/>
      <c r="F357" s="289"/>
      <c r="G357" s="290"/>
      <c r="H357" s="288"/>
      <c r="I357" s="294"/>
      <c r="J357" s="288"/>
    </row>
    <row r="358" spans="2:10" ht="29.25" customHeight="1">
      <c r="B358" s="286">
        <v>115</v>
      </c>
      <c r="C358" s="287">
        <v>45825</v>
      </c>
      <c r="D358" s="288" t="s">
        <v>9</v>
      </c>
      <c r="E358" s="288" t="s">
        <v>10</v>
      </c>
      <c r="F358" s="289" t="s">
        <v>11</v>
      </c>
      <c r="G358" s="290" t="s">
        <v>169</v>
      </c>
      <c r="H358" s="288" t="s">
        <v>13</v>
      </c>
      <c r="I358" s="293" t="s">
        <v>168</v>
      </c>
      <c r="J358" s="288" t="s">
        <v>11</v>
      </c>
    </row>
    <row r="359" spans="2:10" ht="33" customHeight="1">
      <c r="B359" s="286"/>
      <c r="C359" s="287"/>
      <c r="D359" s="288"/>
      <c r="E359" s="288"/>
      <c r="F359" s="289"/>
      <c r="G359" s="290"/>
      <c r="H359" s="288"/>
      <c r="I359" s="294"/>
      <c r="J359" s="288"/>
    </row>
    <row r="360" spans="2:10" ht="36" customHeight="1">
      <c r="B360" s="286">
        <v>116</v>
      </c>
      <c r="C360" s="287">
        <v>45826</v>
      </c>
      <c r="D360" s="288" t="s">
        <v>9</v>
      </c>
      <c r="E360" s="288" t="s">
        <v>10</v>
      </c>
      <c r="F360" s="289" t="s">
        <v>11</v>
      </c>
      <c r="G360" s="290" t="s">
        <v>169</v>
      </c>
      <c r="H360" s="288" t="s">
        <v>13</v>
      </c>
      <c r="I360" s="293" t="s">
        <v>168</v>
      </c>
      <c r="J360" s="288" t="s">
        <v>11</v>
      </c>
    </row>
    <row r="361" spans="2:10" ht="43.5" customHeight="1">
      <c r="B361" s="286"/>
      <c r="C361" s="287"/>
      <c r="D361" s="288"/>
      <c r="E361" s="288"/>
      <c r="F361" s="289"/>
      <c r="G361" s="290"/>
      <c r="H361" s="288"/>
      <c r="I361" s="294"/>
      <c r="J361" s="288"/>
    </row>
    <row r="362" spans="2:10" ht="14.25" customHeight="1">
      <c r="B362" s="286">
        <v>117</v>
      </c>
      <c r="C362" s="287">
        <v>45827</v>
      </c>
      <c r="D362" s="288" t="s">
        <v>9</v>
      </c>
      <c r="E362" s="288" t="s">
        <v>10</v>
      </c>
      <c r="F362" s="289" t="s">
        <v>11</v>
      </c>
      <c r="G362" s="290" t="s">
        <v>169</v>
      </c>
      <c r="H362" s="288" t="s">
        <v>13</v>
      </c>
      <c r="I362" s="293" t="s">
        <v>170</v>
      </c>
      <c r="J362" s="288" t="s">
        <v>11</v>
      </c>
    </row>
    <row r="363" spans="2:10" ht="39.75" customHeight="1">
      <c r="B363" s="286"/>
      <c r="C363" s="287"/>
      <c r="D363" s="288"/>
      <c r="E363" s="288"/>
      <c r="F363" s="289"/>
      <c r="G363" s="290"/>
      <c r="H363" s="288"/>
      <c r="I363" s="294"/>
      <c r="J363" s="288"/>
    </row>
    <row r="364" spans="2:10" ht="14.25" customHeight="1">
      <c r="B364" s="286">
        <v>118</v>
      </c>
      <c r="C364" s="287">
        <v>45828</v>
      </c>
      <c r="D364" s="288" t="s">
        <v>9</v>
      </c>
      <c r="E364" s="288" t="s">
        <v>10</v>
      </c>
      <c r="F364" s="289" t="s">
        <v>11</v>
      </c>
      <c r="G364" s="290" t="s">
        <v>171</v>
      </c>
      <c r="H364" s="288" t="s">
        <v>13</v>
      </c>
      <c r="I364" s="291" t="s">
        <v>11</v>
      </c>
      <c r="J364" s="288" t="s">
        <v>11</v>
      </c>
    </row>
    <row r="365" spans="2:10" ht="14.25" customHeight="1">
      <c r="B365" s="286"/>
      <c r="C365" s="287"/>
      <c r="D365" s="288"/>
      <c r="E365" s="288"/>
      <c r="F365" s="289"/>
      <c r="G365" s="290"/>
      <c r="H365" s="288"/>
      <c r="I365" s="292"/>
      <c r="J365" s="288"/>
    </row>
  </sheetData>
  <mergeCells count="1170">
    <mergeCell ref="B362:B363"/>
    <mergeCell ref="C362:C363"/>
    <mergeCell ref="D362:D363"/>
    <mergeCell ref="E362:E363"/>
    <mergeCell ref="F362:F363"/>
    <mergeCell ref="G362:G363"/>
    <mergeCell ref="H362:H363"/>
    <mergeCell ref="I362:I363"/>
    <mergeCell ref="J362:J363"/>
    <mergeCell ref="B360:B361"/>
    <mergeCell ref="C360:C361"/>
    <mergeCell ref="D360:D361"/>
    <mergeCell ref="E360:E361"/>
    <mergeCell ref="F360:F361"/>
    <mergeCell ref="G360:G361"/>
    <mergeCell ref="H360:H361"/>
    <mergeCell ref="I360:I361"/>
    <mergeCell ref="J360:J361"/>
    <mergeCell ref="B358:B359"/>
    <mergeCell ref="C358:C359"/>
    <mergeCell ref="D358:D359"/>
    <mergeCell ref="E358:E359"/>
    <mergeCell ref="F358:F359"/>
    <mergeCell ref="G358:G359"/>
    <mergeCell ref="H358:H359"/>
    <mergeCell ref="I358:I359"/>
    <mergeCell ref="J358:J359"/>
    <mergeCell ref="E342:E343"/>
    <mergeCell ref="F342:F343"/>
    <mergeCell ref="B350:B351"/>
    <mergeCell ref="C350:C351"/>
    <mergeCell ref="D350:D351"/>
    <mergeCell ref="E350:E351"/>
    <mergeCell ref="F350:F351"/>
    <mergeCell ref="G350:G351"/>
    <mergeCell ref="H350:H351"/>
    <mergeCell ref="I350:I351"/>
    <mergeCell ref="J350:J351"/>
    <mergeCell ref="I352:I353"/>
    <mergeCell ref="J352:J353"/>
    <mergeCell ref="B356:B357"/>
    <mergeCell ref="C356:C357"/>
    <mergeCell ref="D356:D357"/>
    <mergeCell ref="E356:E357"/>
    <mergeCell ref="F356:F357"/>
    <mergeCell ref="G356:G357"/>
    <mergeCell ref="H356:H357"/>
    <mergeCell ref="I356:I357"/>
    <mergeCell ref="J356:J357"/>
    <mergeCell ref="B354:B355"/>
    <mergeCell ref="C354:C355"/>
    <mergeCell ref="D354:D355"/>
    <mergeCell ref="E354:E355"/>
    <mergeCell ref="F354:F355"/>
    <mergeCell ref="G354:G355"/>
    <mergeCell ref="H354:H355"/>
    <mergeCell ref="I354:I355"/>
    <mergeCell ref="J354:J355"/>
    <mergeCell ref="B338:B339"/>
    <mergeCell ref="C338:C339"/>
    <mergeCell ref="D338:D339"/>
    <mergeCell ref="E338:E339"/>
    <mergeCell ref="F338:F339"/>
    <mergeCell ref="G338:G339"/>
    <mergeCell ref="H338:H339"/>
    <mergeCell ref="I338:I339"/>
    <mergeCell ref="J338:J339"/>
    <mergeCell ref="B340:B341"/>
    <mergeCell ref="C340:C341"/>
    <mergeCell ref="D340:D341"/>
    <mergeCell ref="E340:E341"/>
    <mergeCell ref="F340:F341"/>
    <mergeCell ref="G340:G341"/>
    <mergeCell ref="H340:H341"/>
    <mergeCell ref="I340:I341"/>
    <mergeCell ref="J340:J341"/>
    <mergeCell ref="G342:G343"/>
    <mergeCell ref="H342:H343"/>
    <mergeCell ref="I342:I343"/>
    <mergeCell ref="J342:J343"/>
    <mergeCell ref="B346:B347"/>
    <mergeCell ref="C346:C347"/>
    <mergeCell ref="B336:B337"/>
    <mergeCell ref="C336:C337"/>
    <mergeCell ref="D336:D337"/>
    <mergeCell ref="E336:E337"/>
    <mergeCell ref="F336:F337"/>
    <mergeCell ref="G336:G337"/>
    <mergeCell ref="H336:H337"/>
    <mergeCell ref="I336:I337"/>
    <mergeCell ref="J336:J337"/>
    <mergeCell ref="A328:A329"/>
    <mergeCell ref="B328:B329"/>
    <mergeCell ref="C328:C329"/>
    <mergeCell ref="D328:D329"/>
    <mergeCell ref="E328:E329"/>
    <mergeCell ref="F328:F329"/>
    <mergeCell ref="G328:G329"/>
    <mergeCell ref="H328:H329"/>
    <mergeCell ref="I328:I329"/>
    <mergeCell ref="J328:J329"/>
    <mergeCell ref="B334:B335"/>
    <mergeCell ref="C334:C335"/>
    <mergeCell ref="D334:D335"/>
    <mergeCell ref="E334:E335"/>
    <mergeCell ref="F334:F335"/>
    <mergeCell ref="G334:G335"/>
    <mergeCell ref="H334:H335"/>
    <mergeCell ref="I334:I335"/>
    <mergeCell ref="J334:J335"/>
    <mergeCell ref="B332:B333"/>
    <mergeCell ref="C332:C333"/>
    <mergeCell ref="D332:D333"/>
    <mergeCell ref="E332:E333"/>
    <mergeCell ref="F332:F333"/>
    <mergeCell ref="G332:G333"/>
    <mergeCell ref="H332:H333"/>
    <mergeCell ref="I332:I333"/>
    <mergeCell ref="J332:J333"/>
    <mergeCell ref="I326:I327"/>
    <mergeCell ref="J326:J327"/>
    <mergeCell ref="B324:B325"/>
    <mergeCell ref="C324:C325"/>
    <mergeCell ref="D324:D325"/>
    <mergeCell ref="E324:E325"/>
    <mergeCell ref="F324:F325"/>
    <mergeCell ref="G324:G325"/>
    <mergeCell ref="H324:H325"/>
    <mergeCell ref="I324:I325"/>
    <mergeCell ref="J324:J325"/>
    <mergeCell ref="B330:B331"/>
    <mergeCell ref="C330:C331"/>
    <mergeCell ref="D330:D331"/>
    <mergeCell ref="E330:E331"/>
    <mergeCell ref="F330:F331"/>
    <mergeCell ref="G330:G331"/>
    <mergeCell ref="H330:H331"/>
    <mergeCell ref="I330:I331"/>
    <mergeCell ref="J330:J331"/>
    <mergeCell ref="G312:G313"/>
    <mergeCell ref="H312:H313"/>
    <mergeCell ref="B318:B319"/>
    <mergeCell ref="C318:C319"/>
    <mergeCell ref="D318:D319"/>
    <mergeCell ref="E318:E319"/>
    <mergeCell ref="F318:F319"/>
    <mergeCell ref="G318:G319"/>
    <mergeCell ref="H318:H319"/>
    <mergeCell ref="C314:C317"/>
    <mergeCell ref="B314:B317"/>
    <mergeCell ref="D314:D317"/>
    <mergeCell ref="B326:B327"/>
    <mergeCell ref="C326:C327"/>
    <mergeCell ref="D326:D327"/>
    <mergeCell ref="E326:E327"/>
    <mergeCell ref="F326:F327"/>
    <mergeCell ref="G326:G327"/>
    <mergeCell ref="H326:H327"/>
    <mergeCell ref="D322:D323"/>
    <mergeCell ref="E322:E323"/>
    <mergeCell ref="F322:F323"/>
    <mergeCell ref="G322:G323"/>
    <mergeCell ref="I322:I323"/>
    <mergeCell ref="H322:H323"/>
    <mergeCell ref="J322:J323"/>
    <mergeCell ref="J318:J319"/>
    <mergeCell ref="B322:B323"/>
    <mergeCell ref="C322:C323"/>
    <mergeCell ref="B310:B311"/>
    <mergeCell ref="C310:C311"/>
    <mergeCell ref="D310:D311"/>
    <mergeCell ref="E310:E311"/>
    <mergeCell ref="F310:F311"/>
    <mergeCell ref="G310:G311"/>
    <mergeCell ref="H310:H311"/>
    <mergeCell ref="B308:B309"/>
    <mergeCell ref="C308:C309"/>
    <mergeCell ref="D308:D309"/>
    <mergeCell ref="E308:E309"/>
    <mergeCell ref="F308:F309"/>
    <mergeCell ref="G308:G309"/>
    <mergeCell ref="H308:H309"/>
    <mergeCell ref="B320:B321"/>
    <mergeCell ref="C320:C321"/>
    <mergeCell ref="D320:D321"/>
    <mergeCell ref="E320:E321"/>
    <mergeCell ref="F320:F321"/>
    <mergeCell ref="G320:G321"/>
    <mergeCell ref="H320:H321"/>
    <mergeCell ref="B312:B313"/>
    <mergeCell ref="C312:C313"/>
    <mergeCell ref="D312:D313"/>
    <mergeCell ref="E312:E313"/>
    <mergeCell ref="F312:F313"/>
    <mergeCell ref="B306:B307"/>
    <mergeCell ref="C306:C307"/>
    <mergeCell ref="D306:D307"/>
    <mergeCell ref="E306:E307"/>
    <mergeCell ref="F306:F307"/>
    <mergeCell ref="G306:G307"/>
    <mergeCell ref="H306:H307"/>
    <mergeCell ref="B304:B305"/>
    <mergeCell ref="C304:C305"/>
    <mergeCell ref="D304:D305"/>
    <mergeCell ref="E304:E305"/>
    <mergeCell ref="F304:F305"/>
    <mergeCell ref="G304:G305"/>
    <mergeCell ref="H304:H305"/>
    <mergeCell ref="E302:E303"/>
    <mergeCell ref="F302:F303"/>
    <mergeCell ref="G302:G303"/>
    <mergeCell ref="B293:B294"/>
    <mergeCell ref="C293:C294"/>
    <mergeCell ref="B300:B301"/>
    <mergeCell ref="C300:C301"/>
    <mergeCell ref="D300:D301"/>
    <mergeCell ref="E300:E301"/>
    <mergeCell ref="F300:F301"/>
    <mergeCell ref="G300:G301"/>
    <mergeCell ref="H300:H301"/>
    <mergeCell ref="H302:H303"/>
    <mergeCell ref="B302:B303"/>
    <mergeCell ref="C302:C303"/>
    <mergeCell ref="D302:D303"/>
    <mergeCell ref="H298:H299"/>
    <mergeCell ref="B298:B299"/>
    <mergeCell ref="C298:C299"/>
    <mergeCell ref="D298:D299"/>
    <mergeCell ref="E298:E299"/>
    <mergeCell ref="D293:D294"/>
    <mergeCell ref="E293:E294"/>
    <mergeCell ref="F293:F294"/>
    <mergeCell ref="H295:H297"/>
    <mergeCell ref="H293:H294"/>
    <mergeCell ref="B295:B297"/>
    <mergeCell ref="C295:C297"/>
    <mergeCell ref="F298:F299"/>
    <mergeCell ref="G298:G299"/>
    <mergeCell ref="D295:D297"/>
    <mergeCell ref="G287:G288"/>
    <mergeCell ref="B291:B292"/>
    <mergeCell ref="C291:C292"/>
    <mergeCell ref="D291:D292"/>
    <mergeCell ref="G289:G290"/>
    <mergeCell ref="H289:H290"/>
    <mergeCell ref="C285:C286"/>
    <mergeCell ref="D285:D286"/>
    <mergeCell ref="E285:E286"/>
    <mergeCell ref="F285:F286"/>
    <mergeCell ref="G285:G286"/>
    <mergeCell ref="H285:H286"/>
    <mergeCell ref="B283:B284"/>
    <mergeCell ref="C283:C284"/>
    <mergeCell ref="D283:D284"/>
    <mergeCell ref="E283:E284"/>
    <mergeCell ref="F283:F284"/>
    <mergeCell ref="G283:G284"/>
    <mergeCell ref="H283:H284"/>
    <mergeCell ref="H287:H288"/>
    <mergeCell ref="E291:E292"/>
    <mergeCell ref="F291:F292"/>
    <mergeCell ref="G291:G292"/>
    <mergeCell ref="H291:H292"/>
    <mergeCell ref="C276:C277"/>
    <mergeCell ref="D276:D277"/>
    <mergeCell ref="E276:E277"/>
    <mergeCell ref="B289:B290"/>
    <mergeCell ref="C289:C290"/>
    <mergeCell ref="D289:D290"/>
    <mergeCell ref="E289:E290"/>
    <mergeCell ref="F289:F290"/>
    <mergeCell ref="B278:B280"/>
    <mergeCell ref="C278:C280"/>
    <mergeCell ref="D278:D280"/>
    <mergeCell ref="E278:E280"/>
    <mergeCell ref="F278:F280"/>
    <mergeCell ref="B287:B288"/>
    <mergeCell ref="C287:C288"/>
    <mergeCell ref="F276:F277"/>
    <mergeCell ref="D287:D288"/>
    <mergeCell ref="E287:E288"/>
    <mergeCell ref="F287:F288"/>
    <mergeCell ref="B276:B277"/>
    <mergeCell ref="B285:B286"/>
    <mergeCell ref="B281:B282"/>
    <mergeCell ref="C281:C282"/>
    <mergeCell ref="D281:D282"/>
    <mergeCell ref="F281:F282"/>
    <mergeCell ref="E281:E282"/>
    <mergeCell ref="I281:I282"/>
    <mergeCell ref="I274:I275"/>
    <mergeCell ref="I272:I273"/>
    <mergeCell ref="G270:G271"/>
    <mergeCell ref="H270:H271"/>
    <mergeCell ref="I270:I271"/>
    <mergeCell ref="G274:G275"/>
    <mergeCell ref="H274:H275"/>
    <mergeCell ref="H281:H282"/>
    <mergeCell ref="H276:H277"/>
    <mergeCell ref="G278:G280"/>
    <mergeCell ref="H278:H280"/>
    <mergeCell ref="G276:G277"/>
    <mergeCell ref="F256:F257"/>
    <mergeCell ref="H256:H257"/>
    <mergeCell ref="I266:I267"/>
    <mergeCell ref="G266:G267"/>
    <mergeCell ref="I268:I269"/>
    <mergeCell ref="G281:G282"/>
    <mergeCell ref="F266:F267"/>
    <mergeCell ref="H266:H267"/>
    <mergeCell ref="F258:F259"/>
    <mergeCell ref="H258:H259"/>
    <mergeCell ref="G262:G263"/>
    <mergeCell ref="H260:H261"/>
    <mergeCell ref="F264:F265"/>
    <mergeCell ref="H264:H265"/>
    <mergeCell ref="F262:F263"/>
    <mergeCell ref="G260:G261"/>
    <mergeCell ref="H262:H263"/>
    <mergeCell ref="B272:B273"/>
    <mergeCell ref="B274:B275"/>
    <mergeCell ref="C274:C275"/>
    <mergeCell ref="C270:C271"/>
    <mergeCell ref="D268:D269"/>
    <mergeCell ref="E268:E269"/>
    <mergeCell ref="F268:F269"/>
    <mergeCell ref="G268:G269"/>
    <mergeCell ref="D270:D271"/>
    <mergeCell ref="H268:H269"/>
    <mergeCell ref="H272:H273"/>
    <mergeCell ref="F270:F271"/>
    <mergeCell ref="E272:E273"/>
    <mergeCell ref="F272:F273"/>
    <mergeCell ref="G272:G273"/>
    <mergeCell ref="D274:D275"/>
    <mergeCell ref="E274:E275"/>
    <mergeCell ref="F274:F275"/>
    <mergeCell ref="E270:E271"/>
    <mergeCell ref="C272:C273"/>
    <mergeCell ref="D272:D273"/>
    <mergeCell ref="C268:C269"/>
    <mergeCell ref="E260:E263"/>
    <mergeCell ref="D256:D257"/>
    <mergeCell ref="B264:B265"/>
    <mergeCell ref="B266:B267"/>
    <mergeCell ref="B268:B269"/>
    <mergeCell ref="B270:B271"/>
    <mergeCell ref="E256:E257"/>
    <mergeCell ref="C266:C267"/>
    <mergeCell ref="D266:D267"/>
    <mergeCell ref="B256:B257"/>
    <mergeCell ref="B258:B259"/>
    <mergeCell ref="B260:B263"/>
    <mergeCell ref="C222:C223"/>
    <mergeCell ref="B236:B237"/>
    <mergeCell ref="B238:B239"/>
    <mergeCell ref="D258:D259"/>
    <mergeCell ref="D222:D223"/>
    <mergeCell ref="D224:D225"/>
    <mergeCell ref="E266:E267"/>
    <mergeCell ref="C260:C263"/>
    <mergeCell ref="C240:C244"/>
    <mergeCell ref="D260:D263"/>
    <mergeCell ref="B240:B244"/>
    <mergeCell ref="B245:B247"/>
    <mergeCell ref="B248:B249"/>
    <mergeCell ref="B250:B251"/>
    <mergeCell ref="B252:B253"/>
    <mergeCell ref="B254:B255"/>
    <mergeCell ref="B224:B225"/>
    <mergeCell ref="B226:B227"/>
    <mergeCell ref="B228:B229"/>
    <mergeCell ref="B230:B231"/>
    <mergeCell ref="B232:B233"/>
    <mergeCell ref="B234:B235"/>
    <mergeCell ref="D264:D265"/>
    <mergeCell ref="C230:C231"/>
    <mergeCell ref="C264:C265"/>
    <mergeCell ref="C256:C257"/>
    <mergeCell ref="F245:F246"/>
    <mergeCell ref="G245:G246"/>
    <mergeCell ref="E245:E247"/>
    <mergeCell ref="D245:D247"/>
    <mergeCell ref="E248:E249"/>
    <mergeCell ref="D248:D249"/>
    <mergeCell ref="C218:C219"/>
    <mergeCell ref="C220:C221"/>
    <mergeCell ref="C224:C225"/>
    <mergeCell ref="C226:C227"/>
    <mergeCell ref="B218:B219"/>
    <mergeCell ref="C258:C259"/>
    <mergeCell ref="B222:B223"/>
    <mergeCell ref="D220:D221"/>
    <mergeCell ref="D218:D219"/>
    <mergeCell ref="E218:E219"/>
    <mergeCell ref="E220:E221"/>
    <mergeCell ref="F220:F221"/>
    <mergeCell ref="F230:F231"/>
    <mergeCell ref="F224:F225"/>
    <mergeCell ref="G230:G231"/>
    <mergeCell ref="G224:G225"/>
    <mergeCell ref="E224:E225"/>
    <mergeCell ref="E264:E265"/>
    <mergeCell ref="E258:E259"/>
    <mergeCell ref="F254:F255"/>
    <mergeCell ref="B168:B175"/>
    <mergeCell ref="B176:B190"/>
    <mergeCell ref="B191:B193"/>
    <mergeCell ref="B194:B195"/>
    <mergeCell ref="B196:B197"/>
    <mergeCell ref="B198:B199"/>
    <mergeCell ref="C202:C203"/>
    <mergeCell ref="B200:B201"/>
    <mergeCell ref="B202:B203"/>
    <mergeCell ref="B204:B205"/>
    <mergeCell ref="B206:B207"/>
    <mergeCell ref="B208:B209"/>
    <mergeCell ref="B210:B211"/>
    <mergeCell ref="B212:B213"/>
    <mergeCell ref="B214:B215"/>
    <mergeCell ref="B216:B217"/>
    <mergeCell ref="B220:B221"/>
    <mergeCell ref="C208:C209"/>
    <mergeCell ref="B154:B157"/>
    <mergeCell ref="B158:B159"/>
    <mergeCell ref="B160:B167"/>
    <mergeCell ref="B145:B146"/>
    <mergeCell ref="B147:B153"/>
    <mergeCell ref="B2:B3"/>
    <mergeCell ref="B4:B5"/>
    <mergeCell ref="B6:B7"/>
    <mergeCell ref="B8:B9"/>
    <mergeCell ref="B10:B11"/>
    <mergeCell ref="B12:B13"/>
    <mergeCell ref="B14:B15"/>
    <mergeCell ref="B16:B18"/>
    <mergeCell ref="B19:B21"/>
    <mergeCell ref="B51:B57"/>
    <mergeCell ref="B58:B64"/>
    <mergeCell ref="B65:B71"/>
    <mergeCell ref="B72:B78"/>
    <mergeCell ref="B79:B86"/>
    <mergeCell ref="B87:B96"/>
    <mergeCell ref="B97:B106"/>
    <mergeCell ref="B107:B108"/>
    <mergeCell ref="B109:B118"/>
    <mergeCell ref="B119:B128"/>
    <mergeCell ref="B129:B130"/>
    <mergeCell ref="B131:B132"/>
    <mergeCell ref="B22:B24"/>
    <mergeCell ref="B25:B27"/>
    <mergeCell ref="B28:B30"/>
    <mergeCell ref="B31:B34"/>
    <mergeCell ref="B35:B36"/>
    <mergeCell ref="B37:B43"/>
    <mergeCell ref="B44:B50"/>
    <mergeCell ref="C176:C190"/>
    <mergeCell ref="C194:C195"/>
    <mergeCell ref="C206:C207"/>
    <mergeCell ref="C143:C144"/>
    <mergeCell ref="C25:C27"/>
    <mergeCell ref="C168:C175"/>
    <mergeCell ref="D168:D175"/>
    <mergeCell ref="D141:D142"/>
    <mergeCell ref="C196:C197"/>
    <mergeCell ref="D196:D197"/>
    <mergeCell ref="D143:D144"/>
    <mergeCell ref="C133:C134"/>
    <mergeCell ref="C79:C86"/>
    <mergeCell ref="C129:C130"/>
    <mergeCell ref="D129:D130"/>
    <mergeCell ref="D202:D203"/>
    <mergeCell ref="C191:C193"/>
    <mergeCell ref="C198:C199"/>
    <mergeCell ref="C200:C201"/>
    <mergeCell ref="B133:B134"/>
    <mergeCell ref="B135:B136"/>
    <mergeCell ref="B137:B138"/>
    <mergeCell ref="B139:B140"/>
    <mergeCell ref="B141:B142"/>
    <mergeCell ref="B143:B144"/>
    <mergeCell ref="C72:C78"/>
    <mergeCell ref="C135:C136"/>
    <mergeCell ref="D135:D136"/>
    <mergeCell ref="C131:C132"/>
    <mergeCell ref="C97:C106"/>
    <mergeCell ref="C44:C50"/>
    <mergeCell ref="I220:I221"/>
    <mergeCell ref="H240:H244"/>
    <mergeCell ref="E240:E244"/>
    <mergeCell ref="D240:D244"/>
    <mergeCell ref="I240:I241"/>
    <mergeCell ref="H248:H249"/>
    <mergeCell ref="F248:F249"/>
    <mergeCell ref="C252:C253"/>
    <mergeCell ref="D252:D253"/>
    <mergeCell ref="E252:E253"/>
    <mergeCell ref="F252:F253"/>
    <mergeCell ref="H252:H253"/>
    <mergeCell ref="C250:C251"/>
    <mergeCell ref="D250:D251"/>
    <mergeCell ref="E250:E251"/>
    <mergeCell ref="F250:F251"/>
    <mergeCell ref="H250:H251"/>
    <mergeCell ref="C245:C247"/>
    <mergeCell ref="H245:H247"/>
    <mergeCell ref="F240:F241"/>
    <mergeCell ref="F242:F243"/>
    <mergeCell ref="G240:G243"/>
    <mergeCell ref="I242:I243"/>
    <mergeCell ref="C248:C249"/>
    <mergeCell ref="I236:I237"/>
    <mergeCell ref="C236:C237"/>
    <mergeCell ref="D236:D237"/>
    <mergeCell ref="E236:E237"/>
    <mergeCell ref="F236:F237"/>
    <mergeCell ref="I234:I235"/>
    <mergeCell ref="F234:F235"/>
    <mergeCell ref="I238:I239"/>
    <mergeCell ref="I206:I207"/>
    <mergeCell ref="G218:G219"/>
    <mergeCell ref="H218:H219"/>
    <mergeCell ref="I191:I192"/>
    <mergeCell ref="I218:I219"/>
    <mergeCell ref="I196:I197"/>
    <mergeCell ref="G200:G201"/>
    <mergeCell ref="G214:G215"/>
    <mergeCell ref="I216:I217"/>
    <mergeCell ref="G216:G217"/>
    <mergeCell ref="G204:G205"/>
    <mergeCell ref="G212:G213"/>
    <mergeCell ref="G208:G209"/>
    <mergeCell ref="G210:G211"/>
    <mergeCell ref="H210:H211"/>
    <mergeCell ref="I210:I211"/>
    <mergeCell ref="G202:G203"/>
    <mergeCell ref="H194:H195"/>
    <mergeCell ref="G198:G199"/>
    <mergeCell ref="G191:G193"/>
    <mergeCell ref="G194:G195"/>
    <mergeCell ref="G168:G175"/>
    <mergeCell ref="I230:I231"/>
    <mergeCell ref="H216:H217"/>
    <mergeCell ref="F206:F207"/>
    <mergeCell ref="G206:G207"/>
    <mergeCell ref="F196:F197"/>
    <mergeCell ref="G196:G197"/>
    <mergeCell ref="H196:H197"/>
    <mergeCell ref="H220:H221"/>
    <mergeCell ref="H204:H205"/>
    <mergeCell ref="H198:H199"/>
    <mergeCell ref="I198:I199"/>
    <mergeCell ref="H200:H201"/>
    <mergeCell ref="I200:I201"/>
    <mergeCell ref="I202:I203"/>
    <mergeCell ref="H202:H203"/>
    <mergeCell ref="I204:I205"/>
    <mergeCell ref="F216:F217"/>
    <mergeCell ref="I212:I213"/>
    <mergeCell ref="G220:G221"/>
    <mergeCell ref="G222:G223"/>
    <mergeCell ref="H222:H223"/>
    <mergeCell ref="I188:I190"/>
    <mergeCell ref="H184:H190"/>
    <mergeCell ref="G184:G190"/>
    <mergeCell ref="F176:F177"/>
    <mergeCell ref="G176:G183"/>
    <mergeCell ref="I176:I179"/>
    <mergeCell ref="I184:I187"/>
    <mergeCell ref="H176:H183"/>
    <mergeCell ref="H191:H193"/>
    <mergeCell ref="H206:H207"/>
    <mergeCell ref="I180:I183"/>
    <mergeCell ref="F181:F183"/>
    <mergeCell ref="I119:I122"/>
    <mergeCell ref="D133:D134"/>
    <mergeCell ref="D119:D128"/>
    <mergeCell ref="C119:C128"/>
    <mergeCell ref="E107:E108"/>
    <mergeCell ref="E143:E144"/>
    <mergeCell ref="C109:C118"/>
    <mergeCell ref="D109:D118"/>
    <mergeCell ref="E109:E118"/>
    <mergeCell ref="D107:D108"/>
    <mergeCell ref="C107:C108"/>
    <mergeCell ref="C141:C142"/>
    <mergeCell ref="C137:C138"/>
    <mergeCell ref="C139:C140"/>
    <mergeCell ref="I143:I144"/>
    <mergeCell ref="H158:H159"/>
    <mergeCell ref="F158:F159"/>
    <mergeCell ref="I160:I163"/>
    <mergeCell ref="I164:I167"/>
    <mergeCell ref="I113:I118"/>
    <mergeCell ref="I107:I108"/>
    <mergeCell ref="I109:I112"/>
    <mergeCell ref="E119:E128"/>
    <mergeCell ref="H119:H128"/>
    <mergeCell ref="H109:H118"/>
    <mergeCell ref="F109:F118"/>
    <mergeCell ref="G109:G118"/>
    <mergeCell ref="H107:H108"/>
    <mergeCell ref="F107:F108"/>
    <mergeCell ref="E168:E175"/>
    <mergeCell ref="I158:I159"/>
    <mergeCell ref="E147:E153"/>
    <mergeCell ref="F119:F128"/>
    <mergeCell ref="G119:G128"/>
    <mergeCell ref="F135:F136"/>
    <mergeCell ref="G135:G136"/>
    <mergeCell ref="I133:I134"/>
    <mergeCell ref="I145:I146"/>
    <mergeCell ref="I131:I132"/>
    <mergeCell ref="F93:F94"/>
    <mergeCell ref="H65:H71"/>
    <mergeCell ref="I37:I43"/>
    <mergeCell ref="G51:G57"/>
    <mergeCell ref="I79:I82"/>
    <mergeCell ref="H168:H175"/>
    <mergeCell ref="I168:I171"/>
    <mergeCell ref="F170:F172"/>
    <mergeCell ref="F173:F175"/>
    <mergeCell ref="I172:I175"/>
    <mergeCell ref="I147:I150"/>
    <mergeCell ref="I151:I153"/>
    <mergeCell ref="H147:H153"/>
    <mergeCell ref="F133:F134"/>
    <mergeCell ref="G133:G134"/>
    <mergeCell ref="F147:F153"/>
    <mergeCell ref="F143:F144"/>
    <mergeCell ref="G143:G144"/>
    <mergeCell ref="H143:H144"/>
    <mergeCell ref="G145:G146"/>
    <mergeCell ref="I154:I155"/>
    <mergeCell ref="I156:I157"/>
    <mergeCell ref="H154:H157"/>
    <mergeCell ref="I35:I36"/>
    <mergeCell ref="H37:H43"/>
    <mergeCell ref="H31:H34"/>
    <mergeCell ref="I58:I61"/>
    <mergeCell ref="I62:I64"/>
    <mergeCell ref="G107:G108"/>
    <mergeCell ref="I97:I100"/>
    <mergeCell ref="I51:I57"/>
    <mergeCell ref="I87:I90"/>
    <mergeCell ref="H87:H96"/>
    <mergeCell ref="I91:I96"/>
    <mergeCell ref="I44:I50"/>
    <mergeCell ref="I31:I34"/>
    <mergeCell ref="H44:H50"/>
    <mergeCell ref="G65:G71"/>
    <mergeCell ref="I16:I18"/>
    <mergeCell ref="G87:G96"/>
    <mergeCell ref="I83:I86"/>
    <mergeCell ref="I101:I106"/>
    <mergeCell ref="H58:H64"/>
    <mergeCell ref="H35:H36"/>
    <mergeCell ref="H25:H27"/>
    <mergeCell ref="I72:I74"/>
    <mergeCell ref="I75:I78"/>
    <mergeCell ref="I65:I68"/>
    <mergeCell ref="I69:I71"/>
    <mergeCell ref="F25:F27"/>
    <mergeCell ref="G19:G21"/>
    <mergeCell ref="H19:H21"/>
    <mergeCell ref="I19:I21"/>
    <mergeCell ref="H14:H15"/>
    <mergeCell ref="I22:I24"/>
    <mergeCell ref="I14:I15"/>
    <mergeCell ref="I25:I27"/>
    <mergeCell ref="E16:E18"/>
    <mergeCell ref="H16:H18"/>
    <mergeCell ref="H22:H24"/>
    <mergeCell ref="E14:E15"/>
    <mergeCell ref="I28:I30"/>
    <mergeCell ref="G16:G18"/>
    <mergeCell ref="E19:E21"/>
    <mergeCell ref="H28:H30"/>
    <mergeCell ref="H2:H3"/>
    <mergeCell ref="E2:E3"/>
    <mergeCell ref="H10:H11"/>
    <mergeCell ref="D2:D3"/>
    <mergeCell ref="C2:C3"/>
    <mergeCell ref="I2:I3"/>
    <mergeCell ref="H4:H5"/>
    <mergeCell ref="I4:I5"/>
    <mergeCell ref="E4:E5"/>
    <mergeCell ref="D4:D5"/>
    <mergeCell ref="C4:C5"/>
    <mergeCell ref="F2:F3"/>
    <mergeCell ref="F4:F5"/>
    <mergeCell ref="E6:E7"/>
    <mergeCell ref="D6:D7"/>
    <mergeCell ref="C6:C7"/>
    <mergeCell ref="I6:I7"/>
    <mergeCell ref="H6:H7"/>
    <mergeCell ref="I12:I13"/>
    <mergeCell ref="C12:C13"/>
    <mergeCell ref="D12:D13"/>
    <mergeCell ref="G12:G13"/>
    <mergeCell ref="F6:F7"/>
    <mergeCell ref="E12:E13"/>
    <mergeCell ref="F12:F13"/>
    <mergeCell ref="H12:H13"/>
    <mergeCell ref="I10:I11"/>
    <mergeCell ref="G10:G11"/>
    <mergeCell ref="C8:C9"/>
    <mergeCell ref="D8:D9"/>
    <mergeCell ref="E8:E9"/>
    <mergeCell ref="H8:H9"/>
    <mergeCell ref="I8:I9"/>
    <mergeCell ref="E10:E11"/>
    <mergeCell ref="F10:F11"/>
    <mergeCell ref="C10:C11"/>
    <mergeCell ref="D10:D11"/>
    <mergeCell ref="F8:F9"/>
    <mergeCell ref="D22:D24"/>
    <mergeCell ref="C16:C18"/>
    <mergeCell ref="C14:C15"/>
    <mergeCell ref="G14:G15"/>
    <mergeCell ref="C28:C30"/>
    <mergeCell ref="D28:D30"/>
    <mergeCell ref="C35:C36"/>
    <mergeCell ref="C37:C43"/>
    <mergeCell ref="D37:D43"/>
    <mergeCell ref="D14:D15"/>
    <mergeCell ref="C31:C34"/>
    <mergeCell ref="C22:C24"/>
    <mergeCell ref="C19:C21"/>
    <mergeCell ref="E22:E24"/>
    <mergeCell ref="G22:G24"/>
    <mergeCell ref="D16:D18"/>
    <mergeCell ref="D19:D21"/>
    <mergeCell ref="G33:G34"/>
    <mergeCell ref="D25:D27"/>
    <mergeCell ref="E25:E27"/>
    <mergeCell ref="G25:G27"/>
    <mergeCell ref="F28:F30"/>
    <mergeCell ref="E28:E30"/>
    <mergeCell ref="G28:G30"/>
    <mergeCell ref="F14:F15"/>
    <mergeCell ref="F16:F18"/>
    <mergeCell ref="F19:F21"/>
    <mergeCell ref="F22:F24"/>
    <mergeCell ref="D35:D36"/>
    <mergeCell ref="E35:E36"/>
    <mergeCell ref="G35:G36"/>
    <mergeCell ref="F31:F34"/>
    <mergeCell ref="E37:E43"/>
    <mergeCell ref="G37:G43"/>
    <mergeCell ref="D31:D34"/>
    <mergeCell ref="E31:E34"/>
    <mergeCell ref="F65:F71"/>
    <mergeCell ref="F72:F78"/>
    <mergeCell ref="F37:F43"/>
    <mergeCell ref="F35:F36"/>
    <mergeCell ref="G31:G32"/>
    <mergeCell ref="G58:G64"/>
    <mergeCell ref="E44:E50"/>
    <mergeCell ref="F51:F57"/>
    <mergeCell ref="F58:F64"/>
    <mergeCell ref="D58:D64"/>
    <mergeCell ref="G44:G50"/>
    <mergeCell ref="D44:D50"/>
    <mergeCell ref="E65:E71"/>
    <mergeCell ref="F44:F50"/>
    <mergeCell ref="E58:E64"/>
    <mergeCell ref="E51:E57"/>
    <mergeCell ref="I123:I128"/>
    <mergeCell ref="I129:I130"/>
    <mergeCell ref="G139:G140"/>
    <mergeCell ref="I135:I136"/>
    <mergeCell ref="E137:E138"/>
    <mergeCell ref="H137:H138"/>
    <mergeCell ref="I139:I140"/>
    <mergeCell ref="I141:I142"/>
    <mergeCell ref="G97:G106"/>
    <mergeCell ref="H97:H106"/>
    <mergeCell ref="F87:F88"/>
    <mergeCell ref="D79:D86"/>
    <mergeCell ref="D72:D78"/>
    <mergeCell ref="E72:E78"/>
    <mergeCell ref="G72:G78"/>
    <mergeCell ref="H72:H78"/>
    <mergeCell ref="H79:H86"/>
    <mergeCell ref="G79:G86"/>
    <mergeCell ref="F79:F80"/>
    <mergeCell ref="E87:E96"/>
    <mergeCell ref="F89:F90"/>
    <mergeCell ref="F91:F92"/>
    <mergeCell ref="D87:D96"/>
    <mergeCell ref="E133:E134"/>
    <mergeCell ref="H133:H134"/>
    <mergeCell ref="D131:D132"/>
    <mergeCell ref="E131:E132"/>
    <mergeCell ref="H131:H132"/>
    <mergeCell ref="G131:G132"/>
    <mergeCell ref="F131:F132"/>
    <mergeCell ref="H129:H130"/>
    <mergeCell ref="F129:F130"/>
    <mergeCell ref="C51:C57"/>
    <mergeCell ref="D51:D57"/>
    <mergeCell ref="F101:F102"/>
    <mergeCell ref="F103:F104"/>
    <mergeCell ref="C65:C71"/>
    <mergeCell ref="D65:D71"/>
    <mergeCell ref="F95:F96"/>
    <mergeCell ref="E79:E86"/>
    <mergeCell ref="C87:C96"/>
    <mergeCell ref="D97:D106"/>
    <mergeCell ref="E97:E106"/>
    <mergeCell ref="F97:F98"/>
    <mergeCell ref="C58:C64"/>
    <mergeCell ref="F84:F86"/>
    <mergeCell ref="E202:E203"/>
    <mergeCell ref="F202:F203"/>
    <mergeCell ref="E129:E130"/>
    <mergeCell ref="D200:D201"/>
    <mergeCell ref="E200:E201"/>
    <mergeCell ref="D198:D199"/>
    <mergeCell ref="E198:E199"/>
    <mergeCell ref="F198:F199"/>
    <mergeCell ref="E196:E197"/>
    <mergeCell ref="D191:D193"/>
    <mergeCell ref="E191:E193"/>
    <mergeCell ref="F200:F201"/>
    <mergeCell ref="F194:F195"/>
    <mergeCell ref="F191:F193"/>
    <mergeCell ref="D194:D195"/>
    <mergeCell ref="E194:E195"/>
    <mergeCell ref="F184:F190"/>
    <mergeCell ref="E176:E190"/>
    <mergeCell ref="G129:G130"/>
    <mergeCell ref="H51:H57"/>
    <mergeCell ref="H145:H146"/>
    <mergeCell ref="E141:E142"/>
    <mergeCell ref="F141:F142"/>
    <mergeCell ref="G141:G142"/>
    <mergeCell ref="D137:D138"/>
    <mergeCell ref="F137:F138"/>
    <mergeCell ref="G137:G138"/>
    <mergeCell ref="H141:H142"/>
    <mergeCell ref="D139:D140"/>
    <mergeCell ref="E139:E140"/>
    <mergeCell ref="F139:F140"/>
    <mergeCell ref="H139:H140"/>
    <mergeCell ref="H160:H167"/>
    <mergeCell ref="G147:G153"/>
    <mergeCell ref="F99:F100"/>
    <mergeCell ref="F105:F106"/>
    <mergeCell ref="G158:G159"/>
    <mergeCell ref="G160:G167"/>
    <mergeCell ref="G154:G157"/>
    <mergeCell ref="E135:E136"/>
    <mergeCell ref="H135:H136"/>
    <mergeCell ref="D176:D190"/>
    <mergeCell ref="C145:C146"/>
    <mergeCell ref="D145:D146"/>
    <mergeCell ref="E145:E146"/>
    <mergeCell ref="D154:D157"/>
    <mergeCell ref="C154:C157"/>
    <mergeCell ref="F160:F161"/>
    <mergeCell ref="F162:F164"/>
    <mergeCell ref="F165:F167"/>
    <mergeCell ref="E154:E157"/>
    <mergeCell ref="C147:C153"/>
    <mergeCell ref="D147:D153"/>
    <mergeCell ref="C160:C167"/>
    <mergeCell ref="D160:D167"/>
    <mergeCell ref="E160:E167"/>
    <mergeCell ref="C158:C159"/>
    <mergeCell ref="D158:D159"/>
    <mergeCell ref="E158:E159"/>
    <mergeCell ref="F154:F157"/>
    <mergeCell ref="F145:F146"/>
    <mergeCell ref="F178:F180"/>
    <mergeCell ref="F168:F169"/>
    <mergeCell ref="D206:D207"/>
    <mergeCell ref="E206:E207"/>
    <mergeCell ref="C216:C217"/>
    <mergeCell ref="F204:F205"/>
    <mergeCell ref="F218:F219"/>
    <mergeCell ref="D214:D215"/>
    <mergeCell ref="E214:E215"/>
    <mergeCell ref="F214:F215"/>
    <mergeCell ref="D216:D217"/>
    <mergeCell ref="E216:E217"/>
    <mergeCell ref="C214:C215"/>
    <mergeCell ref="C212:C213"/>
    <mergeCell ref="C210:C211"/>
    <mergeCell ref="F208:F209"/>
    <mergeCell ref="C204:C205"/>
    <mergeCell ref="D204:D205"/>
    <mergeCell ref="E204:E205"/>
    <mergeCell ref="D210:D211"/>
    <mergeCell ref="E210:E211"/>
    <mergeCell ref="F210:F211"/>
    <mergeCell ref="D208:D209"/>
    <mergeCell ref="E208:E209"/>
    <mergeCell ref="D212:D213"/>
    <mergeCell ref="I222:I223"/>
    <mergeCell ref="I224:I225"/>
    <mergeCell ref="I228:I229"/>
    <mergeCell ref="H224:H225"/>
    <mergeCell ref="F226:F227"/>
    <mergeCell ref="G226:G227"/>
    <mergeCell ref="E234:E235"/>
    <mergeCell ref="G228:G229"/>
    <mergeCell ref="I232:I233"/>
    <mergeCell ref="H230:H231"/>
    <mergeCell ref="E226:E227"/>
    <mergeCell ref="G232:G233"/>
    <mergeCell ref="H226:H227"/>
    <mergeCell ref="C234:C235"/>
    <mergeCell ref="H234:H235"/>
    <mergeCell ref="C232:C233"/>
    <mergeCell ref="D232:D233"/>
    <mergeCell ref="E232:E233"/>
    <mergeCell ref="F232:F233"/>
    <mergeCell ref="E222:E223"/>
    <mergeCell ref="F222:F223"/>
    <mergeCell ref="E228:E229"/>
    <mergeCell ref="E230:E231"/>
    <mergeCell ref="H254:H255"/>
    <mergeCell ref="C254:C255"/>
    <mergeCell ref="D254:D255"/>
    <mergeCell ref="E254:E255"/>
    <mergeCell ref="H236:H237"/>
    <mergeCell ref="C238:C239"/>
    <mergeCell ref="D238:D239"/>
    <mergeCell ref="E238:E239"/>
    <mergeCell ref="F238:F239"/>
    <mergeCell ref="H238:H239"/>
    <mergeCell ref="I226:I227"/>
    <mergeCell ref="H232:H233"/>
    <mergeCell ref="H228:H229"/>
    <mergeCell ref="C228:C229"/>
    <mergeCell ref="D228:D229"/>
    <mergeCell ref="F228:F229"/>
    <mergeCell ref="D230:D231"/>
    <mergeCell ref="D234:D235"/>
    <mergeCell ref="D226:D227"/>
    <mergeCell ref="J31:J34"/>
    <mergeCell ref="I316:I317"/>
    <mergeCell ref="H314:H317"/>
    <mergeCell ref="G315:G317"/>
    <mergeCell ref="F315:F317"/>
    <mergeCell ref="E314:E317"/>
    <mergeCell ref="I293:I294"/>
    <mergeCell ref="G293:G294"/>
    <mergeCell ref="I283:I284"/>
    <mergeCell ref="I291:I292"/>
    <mergeCell ref="F260:F261"/>
    <mergeCell ref="J87:J96"/>
    <mergeCell ref="J97:J106"/>
    <mergeCell ref="J107:J108"/>
    <mergeCell ref="J109:J118"/>
    <mergeCell ref="J119:J128"/>
    <mergeCell ref="J129:J130"/>
    <mergeCell ref="J131:J132"/>
    <mergeCell ref="J133:J134"/>
    <mergeCell ref="J35:J36"/>
    <mergeCell ref="E212:E213"/>
    <mergeCell ref="F212:F213"/>
    <mergeCell ref="H214:H215"/>
    <mergeCell ref="I214:I215"/>
    <mergeCell ref="H212:H213"/>
    <mergeCell ref="I208:I209"/>
    <mergeCell ref="H208:H209"/>
    <mergeCell ref="J79:J86"/>
    <mergeCell ref="J224:J225"/>
    <mergeCell ref="E295:E297"/>
    <mergeCell ref="F295:F297"/>
    <mergeCell ref="G295:G297"/>
    <mergeCell ref="J176:J190"/>
    <mergeCell ref="J210:J211"/>
    <mergeCell ref="J212:J213"/>
    <mergeCell ref="J214:J215"/>
    <mergeCell ref="J216:J217"/>
    <mergeCell ref="J218:J219"/>
    <mergeCell ref="J220:J221"/>
    <mergeCell ref="J222:J223"/>
    <mergeCell ref="J160:J167"/>
    <mergeCell ref="J168:J175"/>
    <mergeCell ref="J191:J193"/>
    <mergeCell ref="J194:J195"/>
    <mergeCell ref="J196:J197"/>
    <mergeCell ref="J198:J199"/>
    <mergeCell ref="J2:J3"/>
    <mergeCell ref="J4:J5"/>
    <mergeCell ref="J6:J7"/>
    <mergeCell ref="J8:J9"/>
    <mergeCell ref="J10:J11"/>
    <mergeCell ref="J12:J13"/>
    <mergeCell ref="J14:J15"/>
    <mergeCell ref="J22:J24"/>
    <mergeCell ref="J25:J27"/>
    <mergeCell ref="J16:J18"/>
    <mergeCell ref="J19:J21"/>
    <mergeCell ref="J37:J43"/>
    <mergeCell ref="J44:J50"/>
    <mergeCell ref="J51:J57"/>
    <mergeCell ref="J58:J64"/>
    <mergeCell ref="J65:J71"/>
    <mergeCell ref="J72:J78"/>
    <mergeCell ref="J28:J30"/>
    <mergeCell ref="J295:J297"/>
    <mergeCell ref="J264:J265"/>
    <mergeCell ref="J266:J267"/>
    <mergeCell ref="J320:J321"/>
    <mergeCell ref="J314:J317"/>
    <mergeCell ref="J226:J227"/>
    <mergeCell ref="J200:J201"/>
    <mergeCell ref="J202:J203"/>
    <mergeCell ref="J204:J205"/>
    <mergeCell ref="J206:J207"/>
    <mergeCell ref="J208:J209"/>
    <mergeCell ref="J228:J229"/>
    <mergeCell ref="J230:J231"/>
    <mergeCell ref="J250:J251"/>
    <mergeCell ref="J252:J253"/>
    <mergeCell ref="J254:J255"/>
    <mergeCell ref="J256:J257"/>
    <mergeCell ref="J258:J259"/>
    <mergeCell ref="J260:J261"/>
    <mergeCell ref="J262:J263"/>
    <mergeCell ref="J291:J292"/>
    <mergeCell ref="J293:J294"/>
    <mergeCell ref="J287:J288"/>
    <mergeCell ref="J289:J290"/>
    <mergeCell ref="J281:J282"/>
    <mergeCell ref="J135:J136"/>
    <mergeCell ref="J137:J138"/>
    <mergeCell ref="J139:J140"/>
    <mergeCell ref="J141:J142"/>
    <mergeCell ref="J143:J144"/>
    <mergeCell ref="J145:J146"/>
    <mergeCell ref="J147:J153"/>
    <mergeCell ref="J154:J157"/>
    <mergeCell ref="J158:J159"/>
    <mergeCell ref="J232:J233"/>
    <mergeCell ref="J312:J313"/>
    <mergeCell ref="J268:J269"/>
    <mergeCell ref="J270:J271"/>
    <mergeCell ref="J272:J273"/>
    <mergeCell ref="J274:J275"/>
    <mergeCell ref="J276:J277"/>
    <mergeCell ref="J278:J280"/>
    <mergeCell ref="J285:J286"/>
    <mergeCell ref="J310:J311"/>
    <mergeCell ref="J298:J299"/>
    <mergeCell ref="J300:J301"/>
    <mergeCell ref="J302:J303"/>
    <mergeCell ref="J304:J305"/>
    <mergeCell ref="J306:J307"/>
    <mergeCell ref="J308:J309"/>
    <mergeCell ref="J234:J235"/>
    <mergeCell ref="J236:J237"/>
    <mergeCell ref="J238:J239"/>
    <mergeCell ref="J240:J244"/>
    <mergeCell ref="J245:J247"/>
    <mergeCell ref="J248:J249"/>
    <mergeCell ref="J283:J284"/>
    <mergeCell ref="A314:A317"/>
    <mergeCell ref="A318:A319"/>
    <mergeCell ref="A320:A321"/>
    <mergeCell ref="A322:A323"/>
    <mergeCell ref="A324:A325"/>
    <mergeCell ref="A295:A297"/>
    <mergeCell ref="A293:A294"/>
    <mergeCell ref="A291:A292"/>
    <mergeCell ref="A289:A290"/>
    <mergeCell ref="A287:A288"/>
    <mergeCell ref="A285:A286"/>
    <mergeCell ref="A326:A327"/>
    <mergeCell ref="A312:A313"/>
    <mergeCell ref="A310:A311"/>
    <mergeCell ref="A308:A309"/>
    <mergeCell ref="A306:A307"/>
    <mergeCell ref="A304:A305"/>
    <mergeCell ref="A302:A303"/>
    <mergeCell ref="A300:A301"/>
    <mergeCell ref="A298:A299"/>
    <mergeCell ref="A254:A255"/>
    <mergeCell ref="A252:A253"/>
    <mergeCell ref="A250:A251"/>
    <mergeCell ref="A226:A227"/>
    <mergeCell ref="A218:A219"/>
    <mergeCell ref="A168:A175"/>
    <mergeCell ref="A160:A167"/>
    <mergeCell ref="A214:A215"/>
    <mergeCell ref="A216:A217"/>
    <mergeCell ref="A196:A197"/>
    <mergeCell ref="A198:A199"/>
    <mergeCell ref="A200:A201"/>
    <mergeCell ref="A194:A195"/>
    <mergeCell ref="A191:A193"/>
    <mergeCell ref="A176:A190"/>
    <mergeCell ref="A202:A203"/>
    <mergeCell ref="A204:A205"/>
    <mergeCell ref="A206:A207"/>
    <mergeCell ref="A208:A209"/>
    <mergeCell ref="A210:A211"/>
    <mergeCell ref="A212:A213"/>
    <mergeCell ref="A248:A249"/>
    <mergeCell ref="A245:A247"/>
    <mergeCell ref="F344:F345"/>
    <mergeCell ref="I344:I345"/>
    <mergeCell ref="J344:J345"/>
    <mergeCell ref="A240:A244"/>
    <mergeCell ref="A238:A239"/>
    <mergeCell ref="A236:A237"/>
    <mergeCell ref="A234:A235"/>
    <mergeCell ref="A232:A233"/>
    <mergeCell ref="A230:A231"/>
    <mergeCell ref="A228:A229"/>
    <mergeCell ref="A283:A284"/>
    <mergeCell ref="A281:A282"/>
    <mergeCell ref="A278:A280"/>
    <mergeCell ref="B352:B353"/>
    <mergeCell ref="C352:C353"/>
    <mergeCell ref="D352:D353"/>
    <mergeCell ref="E352:E353"/>
    <mergeCell ref="F352:F353"/>
    <mergeCell ref="G352:G353"/>
    <mergeCell ref="H352:H353"/>
    <mergeCell ref="G344:G345"/>
    <mergeCell ref="H344:H345"/>
    <mergeCell ref="A276:A277"/>
    <mergeCell ref="A274:A275"/>
    <mergeCell ref="A272:A273"/>
    <mergeCell ref="A270:A271"/>
    <mergeCell ref="A268:A269"/>
    <mergeCell ref="A266:A267"/>
    <mergeCell ref="A264:A265"/>
    <mergeCell ref="A260:A263"/>
    <mergeCell ref="A258:A259"/>
    <mergeCell ref="A256:A257"/>
    <mergeCell ref="B364:B365"/>
    <mergeCell ref="C364:C365"/>
    <mergeCell ref="D364:D365"/>
    <mergeCell ref="E364:E365"/>
    <mergeCell ref="F364:F365"/>
    <mergeCell ref="G364:G365"/>
    <mergeCell ref="H364:H365"/>
    <mergeCell ref="I364:I365"/>
    <mergeCell ref="J364:J365"/>
    <mergeCell ref="B342:B343"/>
    <mergeCell ref="C342:C343"/>
    <mergeCell ref="D342:D343"/>
    <mergeCell ref="D346:D347"/>
    <mergeCell ref="E346:E347"/>
    <mergeCell ref="F346:F347"/>
    <mergeCell ref="G346:G347"/>
    <mergeCell ref="H346:H347"/>
    <mergeCell ref="I346:I347"/>
    <mergeCell ref="J346:J347"/>
    <mergeCell ref="B344:B345"/>
    <mergeCell ref="B348:B349"/>
    <mergeCell ref="C348:C349"/>
    <mergeCell ref="D348:D349"/>
    <mergeCell ref="E348:E349"/>
    <mergeCell ref="F348:F349"/>
    <mergeCell ref="G348:G349"/>
    <mergeCell ref="H348:H349"/>
    <mergeCell ref="I348:I349"/>
    <mergeCell ref="J348:J349"/>
    <mergeCell ref="C344:C345"/>
    <mergeCell ref="D344:D345"/>
    <mergeCell ref="E344:E345"/>
  </mergeCells>
  <dataValidations count="1">
    <dataValidation type="list" allowBlank="1" showInputMessage="1" showErrorMessage="1" sqref="J1:J16 J19 J22:J176 J191:J1048576" xr:uid="{5D69FBDD-B960-4827-9656-BF581A893ADE}">
      <formula1>$M$4:$M$6</formula1>
    </dataValidation>
  </dataValidations>
  <hyperlinks>
    <hyperlink ref="I2:I3" r:id="rId1" display="\\10.10.0.14\MasterMinds\Vcognition\Exception Handling\Reports\CAD\ELP OUTPUTS" xr:uid="{2897EDE4-0737-4FAF-AA74-A4F71DE5A172}"/>
    <hyperlink ref="I4:I5" r:id="rId2" display="\\10.10.0.14\MasterMinds\Vcognition\Exception Handling\Team\Support Team Folders\CAD\Sample ELP Outputs" xr:uid="{84DB2937-3441-41C4-8757-2CB85392633B}"/>
    <hyperlink ref="I6:I7" r:id="rId3" display="\\10.10.0.14\MasterMinds\Vcognition\Exception Handling\Team\Support Team Folders\CAD\Sample ELP Outputs" xr:uid="{B564024F-A7E7-4DBF-8593-5DB6ED1E0E88}"/>
    <hyperlink ref="I12:I13" r:id="rId4" display="\\10.10.0.14\MasterMinds\Vcognition\Exception Handling\Team\Support Team Folders\CAD\Sample ELP Outputs" xr:uid="{6B039EF0-3EF1-4F91-AE58-9AD297CCCDA9}"/>
    <hyperlink ref="I44:I50" r:id="rId5" display="\\10.10.0.14\MasterMinds\Vcognition\Exception Handling\Team\Support Team Folders\CAD\ELP OUTPUTS" xr:uid="{18BA06A3-70CD-48E9-B191-8B3DDFB53288}"/>
    <hyperlink ref="I37:I43" r:id="rId6" display="\\10.10.0.14\MasterMinds\Vcognition\Exception Handling\Team\Support Team Folders\CAD\ELP OUTPUTS" xr:uid="{66492981-7879-405C-A69F-29C960C55B71}"/>
    <hyperlink ref="I35:I36" r:id="rId7" display="\\10.10.0.14\MasterMinds\Vcognition\Exception Handling\Team\Support Team Folders\CAD\ELP OUTPUTS" xr:uid="{30B177C6-7C60-4409-8A1F-9429BB705EC9}"/>
    <hyperlink ref="I31:I34" r:id="rId8" display="\\10.10.0.14\MasterMinds\Vcognition\Exception Handling\Team\Support Team Folders\CAD\ELP OUTPUTS" xr:uid="{E461E145-9955-4A64-A2A3-9FA71523DBF1}"/>
    <hyperlink ref="I28:I30" r:id="rId9" display="\\10.10.0.14\MasterMinds\Vcognition\Exception Handling\Team\Support Team Folders\CAD\ELP OUTPUTS" xr:uid="{C75E96AC-4F38-41A3-A15C-44A85ACD896B}"/>
    <hyperlink ref="I25:I27" r:id="rId10" display="\\10.10.0.14\MasterMinds\Vcognition\Exception Handling\Team\Support Team Folders\CAD\ELP OUTPUTS" xr:uid="{E747B1DE-0CE6-4EB3-80DA-69AE93BDC050}"/>
    <hyperlink ref="I22:I24" r:id="rId11" display="\\10.10.0.14\MasterMinds\Vcognition\Exception Handling\Team\Support Team Folders\CAD\ELP OUTPUTS" xr:uid="{BAF3F1D7-29BF-41A1-AB03-333345D4C78B}"/>
    <hyperlink ref="I19:I21" r:id="rId12" display="\\10.10.0.14\MasterMinds\Vcognition\Exception Handling\Team\Support Team Folders\CAD\ELP OUTPUTS" xr:uid="{69C04A9D-A9B0-4A74-8566-872794DA9F47}"/>
    <hyperlink ref="I16:I18" r:id="rId13" display="\\10.10.0.14\MasterMinds\Vcognition\Exception Handling\Team\Support Team Folders\CAD\ELP OUTPUTS" xr:uid="{A80A78D0-D6FC-4AA0-9DC1-AFA2268871B1}"/>
    <hyperlink ref="I14:I15" r:id="rId14" display="\\10.10.0.14\MasterMinds\Vcognition\Exception Handling\Team\Support Team Folders\CAD\ELP OUTPUTS" xr:uid="{DF7DEDAF-496D-477E-A664-16A79F69F13C}"/>
    <hyperlink ref="I51:I57" r:id="rId15" display="\\10.10.0.14\MasterMinds\Vcognition\Exception Handling\Team\Support Team Folders\CAD\ELP OUTPUTS" xr:uid="{D8FB6585-898F-49BE-935F-431AC4B5D8DE}"/>
    <hyperlink ref="I107:I108" r:id="rId16" display="\\10.10.0.14\MasterMinds\Vcognition\Exception Handling\Team\Support Team Folders\Current\Bothiraajan.9806\Architect8-LCAD" xr:uid="{23C8B535-8021-4C32-B90F-9623E021EBDA}"/>
    <hyperlink ref="I101:I106" r:id="rId17" location="slide=id.g32bded8bf1e_0_11" display="https://docs.google.com/presentation/d/1TFbEgMMIZfmT_xcYYbh0Xm0mQtif8Y7bWEjStUgh6bo/edit#slide=id.g32bded8bf1e_0_11" xr:uid="{2B535F44-C3D7-46A2-9D06-9578DA3943C6}"/>
    <hyperlink ref="I62:I64" r:id="rId18" location="slide=id.p" display="https://docs.google.com/presentation/d/1q_J4W03pRtoOtI7z_MZd8Kn7bCcPPWwu1hJp-CRgN0Y/edit#slide=id.p" xr:uid="{9826AB2C-FC29-4CA8-90B9-19C41529CE09}"/>
    <hyperlink ref="I131" r:id="rId19" xr:uid="{ED1B28E2-A4B8-4685-9BC6-5DEC8B84A4F3}"/>
    <hyperlink ref="I133" r:id="rId20" xr:uid="{147710AE-EEC3-44FC-88B0-01A22882C62B}"/>
    <hyperlink ref="I147:I155" r:id="rId21" location="slide=id.g3394c7da1ac_0_5" display="https://docs.google.com/presentation/d/1IEyc3pYb5oCaFIUI8LJ6azz8AiE7zUK_BpybgM1b_rA/edit#slide=id.g3394c7da1ac_0_5" xr:uid="{39188A11-4C3B-4E90-9330-7DF5F9248FDE}"/>
    <hyperlink ref="I156:I157" r:id="rId22" location="slide=id.g339b0bd05f0_0_57" display="https://docs.google.com/presentation/d/16NFzS02rENcjZGT5K_QTX1IZ8n8UHMU5EXGAN8SjUJg/edit#slide=id.g339b0bd05f0_0_57" xr:uid="{055CD2E7-3645-48D2-90BC-FA3F7DABCA34}"/>
    <hyperlink ref="I160:I162" r:id="rId23" location="slide=id.g3394c7da1ac_0_5" display="https://docs.google.com/presentation/d/1IEyc3pYb5oCaFIUI8LJ6azz8AiE7zUK_BpybgM1b_rA/edit#slide=id.g3394c7da1ac_0_5" xr:uid="{551B7729-DD4E-41E8-BB24-209C88E6FD92}"/>
    <hyperlink ref="I164:I167" r:id="rId24" location="slide=id.g33a57c71c00_0_11" display="https://docs.google.com/presentation/d/1EGy9PspUiDXOKTk6kVvqVUy6EDbTnPVXfia1UXYep40/edit#slide=id.g33a57c71c00_0_11" xr:uid="{A831D0FE-C346-4DAF-8C17-6805010612B7}"/>
    <hyperlink ref="I168:I170" r:id="rId25" location="slide=id.g3394c7da1ac_0_5" display="https://docs.google.com/presentation/d/1IEyc3pYb5oCaFIUI8LJ6azz8AiE7zUK_BpybgM1b_rA/edit#slide=id.g3394c7da1ac_0_5" xr:uid="{7E01612C-F80D-4BFD-88E3-E57528ABE3DD}"/>
    <hyperlink ref="I172:I175" r:id="rId26" location="slide=id.p" display="https://docs.google.com/presentation/d/1EGy9PspUiDXOKTk6kVvqVUy6EDbTnPVXfia1UXYep40/edit#slide=id.p" xr:uid="{9C9DFDFD-DEE1-4CE2-9824-8A51E8677062}"/>
    <hyperlink ref="I176:I178" r:id="rId27" location="slide=id.g3394c7da1ac_0_5" display="https://docs.google.com/presentation/d/1IEyc3pYb5oCaFIUI8LJ6azz8AiE7zUK_BpybgM1b_rA/edit#slide=id.g3394c7da1ac_0_5" xr:uid="{5C6A1E4D-3800-4119-BF17-B2D59C64DE2F}"/>
    <hyperlink ref="I184:I187" r:id="rId28" display="\\10.10.0.14\MasterMinds\Vcognition\Exception Handling\Reports\CAD\ELP OUTPUTS" xr:uid="{C40F4154-1E65-4B12-A160-42CFCB4DB587}"/>
    <hyperlink ref="I188" r:id="rId29" location="slide=id.p" xr:uid="{93C975BD-73B6-42FE-BB77-5665A6184334}"/>
    <hyperlink ref="I69:I71" r:id="rId30" location="slide=id.g32b9e92e55b_0_1" display="https://docs.google.com/presentation/d/1IEyc3pYb5oCaFIUI8LJ6azz8AiE7zUK_BpybgM1b_rA/edit#slide=id.g32b9e92e55b_0_1" xr:uid="{EB94D02E-C455-493E-AEEC-AA719F18A4A0}"/>
    <hyperlink ref="I123:I128" r:id="rId31" location="slide=id.p" display="https://docs.google.com/presentation/d/1q_J4W03pRtoOtI7z_MZd8Kn7bCcPPWwu1hJp-CRgN0Y/edit#slide=id.p" xr:uid="{9A519DBA-D571-4346-A59B-35A204DF7002}"/>
    <hyperlink ref="I244" r:id="rId32" xr:uid="{C5234177-982B-4449-ADAD-3C5BE846B4A0}"/>
    <hyperlink ref="I238:I239" r:id="rId33" display="\\10.10.0.14\MasterMinds\Vcognition\Exception Handling\Team\Support Team Folders\Current\Bothiraajan.9806" xr:uid="{052507D6-6593-4810-B348-7EEA9CD938DC}"/>
    <hyperlink ref="I236:I237" r:id="rId34" display="\\10.10.0.14\MasterMinds\Vcognition\Exception Handling\Team\Support Team Folders\Current\Bothiraajan.9806" xr:uid="{EF03A56A-B93B-4FD8-8DE3-A472ECB43B35}"/>
    <hyperlink ref="I234:I235" r:id="rId35" display="\\10.10.0.14\MasterMinds\Vcognition\Exception Handling\Team\Support Team Folders\Current\Bothiraajan.9806" xr:uid="{BC27E885-B85D-4146-9439-6BB14E47DCAE}"/>
    <hyperlink ref="I242:I243" r:id="rId36" location="slide=id.g32bded8bf1e_0_11" display="https://docs.google.com/presentation/d/1TFbEgMMIZfmT_xcYYbh0Xm0mQtif8Y7bWEjStUgh6bo/edit#slide=id.g32bded8bf1e_0_11" xr:uid="{B85CBC63-A60F-45C8-9040-FCC35ABCD315}"/>
    <hyperlink ref="I245" r:id="rId37" location="slide=id.g34935e3568f_5_1" xr:uid="{F5CF3D55-6C3B-49D5-A0BD-52BE47101AC0}"/>
    <hyperlink ref="I246" r:id="rId38" xr:uid="{B6109132-C969-40BB-BE81-615DDAEE9146}"/>
    <hyperlink ref="I180" r:id="rId39" location="slide=id.p" xr:uid="{598108D8-B64D-4B9B-826C-0F2B4DAA708C}"/>
    <hyperlink ref="I248" r:id="rId40" location="slide=id.g349944995b4_0_2" xr:uid="{7F160CE6-8169-4122-917D-41C3E3942B0F}"/>
    <hyperlink ref="I251" r:id="rId41" xr:uid="{FA6805D2-51E1-4C58-AC01-E1C410739B2C}"/>
    <hyperlink ref="I250" r:id="rId42" location="slide=id.g349944995b4_0_2" xr:uid="{78BCB58B-426B-49AE-B29A-DA58A101CFFE}"/>
    <hyperlink ref="I194" r:id="rId43" xr:uid="{865EC46C-216E-4E70-9565-9ECAD81DFA99}"/>
    <hyperlink ref="I191:I192" r:id="rId44" display="\\10.10.0.14\MasterMinds\Vcognition\Exception Handling\Team\Support Team Folders\CAD\ELP OUTPUTS" xr:uid="{322E3C19-0759-45EE-A854-71280E9A1B9D}"/>
    <hyperlink ref="I193" r:id="rId45" location="slide=id.p" xr:uid="{E9C5FC55-DA9D-4333-A46B-BC2EF9973A5E}"/>
    <hyperlink ref="I195" r:id="rId46" location="slide=id.p" xr:uid="{EFF6D388-F8CC-425B-B33F-C1470C97FE88}"/>
    <hyperlink ref="I252" r:id="rId47" location="slide=id.g349944995b4_0_2" xr:uid="{1B22F001-432E-46B9-ADD8-1A6F6E0D1097}"/>
    <hyperlink ref="I253" r:id="rId48" xr:uid="{7904763F-F78D-468D-BDA0-88B8D4C1A036}"/>
    <hyperlink ref="I254" r:id="rId49" location="slide=id.g34b14c888a2_1_27" xr:uid="{4660F82F-D800-4B2A-9E0F-723521E50318}"/>
    <hyperlink ref="I255" r:id="rId50" xr:uid="{C0CAD579-86F5-431D-BDD5-05FFB4A06587}"/>
    <hyperlink ref="I249" r:id="rId51" xr:uid="{21170BAC-10FF-46F3-95EF-16A569F00454}"/>
    <hyperlink ref="I256" r:id="rId52" location="slide=id.g34b14c888a2_1_27" xr:uid="{A60F0B09-B1F4-4C4E-ABAD-1EF3202357BE}"/>
    <hyperlink ref="N258" r:id="rId53" xr:uid="{D776B018-40C4-4A76-A10A-3FB21825305C}"/>
    <hyperlink ref="I258" r:id="rId54" location="slide=id.g34b14c888a2_1_27" xr:uid="{DD05B970-AEB8-493B-9083-8F98BC8AD92E}"/>
    <hyperlink ref="I260" r:id="rId55" location="slide=id.g34b14c888a2_1_27" xr:uid="{1CFD4B3D-CED0-4A95-A531-B437B9131279}"/>
    <hyperlink ref="I259" r:id="rId56" xr:uid="{A21AD4C7-3C78-41CA-A096-6A8932419B12}"/>
    <hyperlink ref="I257" r:id="rId57" xr:uid="{3A084296-7C8F-4B14-BB44-DEDE73FCA0ED}"/>
    <hyperlink ref="I261" r:id="rId58" xr:uid="{F9E94FB6-27E4-40B2-98BD-928611925A91}"/>
    <hyperlink ref="I262" r:id="rId59" location="slide=id.g34edfff4cef_0_10" xr:uid="{1C6F434D-8617-43F7-B4A2-D2DB9D800EF2}"/>
    <hyperlink ref="I263" r:id="rId60" xr:uid="{7B5619FF-FD69-46DC-B2F9-0DEBD1A899E1}"/>
    <hyperlink ref="I264" r:id="rId61" location="slide=id.g34edfff4cef_0_10" xr:uid="{314EE370-B26F-445D-85D6-0DB22A2CB1DC}"/>
    <hyperlink ref="I265" r:id="rId62" xr:uid="{BA086A9F-E24D-4002-883E-1E31DB005B7F}"/>
    <hyperlink ref="I276" r:id="rId63" location="slide=id.g349944995b4_0_2" xr:uid="{92DF3C54-9634-420D-9BE9-9D6EB7C03A7A}"/>
    <hyperlink ref="I277" r:id="rId64" xr:uid="{048D90F1-A42F-42B8-87D1-9ECA8CFBB1BD}"/>
    <hyperlink ref="I278" r:id="rId65" location="slide=id.g349944995b4_0_2" xr:uid="{C65C2717-8BD4-49DB-8745-E7EC3E85CBE3}"/>
    <hyperlink ref="I280" r:id="rId66" xr:uid="{441912D9-F3FD-42E1-8273-A46F2B30CAED}"/>
    <hyperlink ref="I279" r:id="rId67" location="slide=id.g34ad75042b1_0_12" xr:uid="{359EDB29-60FD-4EA7-96AF-17E42FF763D1}"/>
    <hyperlink ref="I286" r:id="rId68" xr:uid="{4C641A05-AF4C-44D8-ACE0-FEB95A4A37A8}"/>
    <hyperlink ref="I285" r:id="rId69" location="slide=id.g354bf69e967_0_15" xr:uid="{02CD5579-EED0-426B-B3C0-B3214B3565E5}"/>
    <hyperlink ref="I288" r:id="rId70" xr:uid="{A2389D6D-6C0D-4FE8-9C68-D802EC18D71E}"/>
    <hyperlink ref="I287" r:id="rId71" location="slide=id.g355390449e7_2_6" xr:uid="{09FA4137-E6F5-4319-AFD5-D0EAAB438223}"/>
    <hyperlink ref="I289" r:id="rId72" location="slide=id.p" xr:uid="{325397B5-42DA-4E6A-8A4D-62E8C3EEB7CE}"/>
    <hyperlink ref="I290" r:id="rId73" xr:uid="{5CF83FE6-673D-4EF9-9E28-FC39624D66CD}"/>
    <hyperlink ref="I291:I292" r:id="rId74" location="slide=id.g354c88703f7_0_0" display="https://docs.google.com/presentation/d/1YFN4AWzXSonadj5QSuuPF56VFncgsrImqqbw5fHHbGI/edit#slide=id.g354c88703f7_0_0" xr:uid="{6445569C-0E5A-476A-BD25-9C9950D8714A}"/>
    <hyperlink ref="I293:I294" r:id="rId75" location="slide=id.g356534891eb_0_6" display="https://docs.google.com/presentation/d/1YFN4AWzXSonadj5QSuuPF56VFncgsrImqqbw5fHHbGI/edit#slide=id.g356534891eb_0_6" xr:uid="{7B04104E-1009-41A9-89D4-574E7CEAE7F6}"/>
    <hyperlink ref="I297" r:id="rId76" xr:uid="{2776DDA9-FC92-4187-8FF3-AE45F84130FE}"/>
    <hyperlink ref="I295" r:id="rId77" location="slide=id.p" xr:uid="{E8DE411C-D027-4E30-9AB0-25248E11DFFB}"/>
    <hyperlink ref="I296" r:id="rId78" location="slide=id.p" xr:uid="{424C04D3-02A3-4FAE-8497-C908892C2B3F}"/>
    <hyperlink ref="I298" r:id="rId79" location="slide=id.p" xr:uid="{FB9D42E1-BBD5-409A-B1F0-E6C85F781276}"/>
    <hyperlink ref="I299" r:id="rId80" xr:uid="{812C513E-0AD2-4860-90D1-6E6E1FE4539A}"/>
    <hyperlink ref="I300" r:id="rId81" location="slide=id.g335e185a9c4_0_0" xr:uid="{E8598AF6-BE50-44F4-99CB-2F9B905FD643}"/>
    <hyperlink ref="I301" r:id="rId82" xr:uid="{C0D06807-E7ED-4773-86EE-C7B17AC86BE4}"/>
    <hyperlink ref="I302" r:id="rId83" location="slide=id.g35859493e8e_0_0" xr:uid="{9563F605-0ADD-47BE-926B-6ABF17360F1E}"/>
    <hyperlink ref="I303" r:id="rId84" xr:uid="{F270EF90-F6B1-47FD-A1DB-A16A382CFB0F}"/>
    <hyperlink ref="I305" r:id="rId85" xr:uid="{7EECE05F-F065-410D-A5DC-2991A69160C7}"/>
    <hyperlink ref="I304" r:id="rId86" location="slide=id.g35859493e8e_0_0" xr:uid="{8ABE8428-C7A6-4559-9F55-47A0135AE0C5}"/>
    <hyperlink ref="I306" r:id="rId87" location="slide=id.g35981e3d494_0_6" xr:uid="{01F49003-6333-4459-8F03-6644C960B539}"/>
    <hyperlink ref="I307" r:id="rId88" xr:uid="{44A22DBF-76EE-435E-A235-611CEC8A5132}"/>
    <hyperlink ref="I308" r:id="rId89" location="slide=id.g35aaaf8cd33_0_6" xr:uid="{6801340D-27F4-48ED-A066-72A999481A02}"/>
    <hyperlink ref="I309" r:id="rId90" xr:uid="{DFE6BAD5-934C-4B44-8707-7771612ABEAF}"/>
    <hyperlink ref="I310" r:id="rId91" location="slide=id.g35aaaf8cd33_0_6" xr:uid="{E620C859-55A0-46A2-B070-385316EDFC76}"/>
    <hyperlink ref="I311" r:id="rId92" xr:uid="{1BB9F9CC-A580-4F70-B631-93BC1B258DAA}"/>
    <hyperlink ref="I138" r:id="rId93" location="slide=id.p" xr:uid="{D57511A4-0E48-44B4-9FD6-C49B47BDF5BC}"/>
    <hyperlink ref="I312" r:id="rId94" location="slide=id.g35b621f7089_2_6" xr:uid="{55FD3722-9285-4645-9884-881ED3CE84F4}"/>
    <hyperlink ref="I313" r:id="rId95" xr:uid="{C7B1C67A-8D32-4270-A888-E71909726ED4}"/>
    <hyperlink ref="I316" r:id="rId96" xr:uid="{E8A7D2A2-11AD-4110-8056-9BF7891C0299}"/>
    <hyperlink ref="I314" r:id="rId97" location="slide=id.g35bae327e05_3_0" xr:uid="{D76769A8-CF05-4F5C-A73E-82C8328C2F98}"/>
    <hyperlink ref="I315" r:id="rId98" location="slide=id.g304e356dc81_0_19" xr:uid="{1E958CF3-28D0-472E-886B-E5BBC129217D}"/>
    <hyperlink ref="I318" r:id="rId99" location="slide=id.g35d146bb1fb_0_36" xr:uid="{783DD87F-0911-4E0E-982F-63C40822F0DE}"/>
    <hyperlink ref="I319" r:id="rId100" xr:uid="{92A6B657-82F9-41D6-9E60-724884F290F5}"/>
    <hyperlink ref="I320" r:id="rId101" location="slide=id.g335e185a9c4_1_12" xr:uid="{C796F93E-07B4-4C33-BA19-0C830BFD6F6B}"/>
    <hyperlink ref="I321" r:id="rId102" xr:uid="{09339401-7CA3-4346-AF81-3814E3AEBBC6}"/>
    <hyperlink ref="I75:I78" r:id="rId103" location="slide=id.g32c69806e2f_1_0" display="https://docs.google.com/presentation/d/1TFbEgMMIZfmT_xcYYbh0Xm0mQtif8Y7bWEjStUgh6bo/edit#slide=id.g32c69806e2f_1_0" xr:uid="{33C0687D-E394-4314-AA62-C2423F99153E}"/>
    <hyperlink ref="I91:I96" r:id="rId104" location="slide=id.g32bded8bf1e_0_10" display="https://docs.google.com/presentation/d/1TFbEgMMIZfmT_xcYYbh0Xm0mQtif8Y7bWEjStUgh6bo/edit#slide=id.g32bded8bf1e_0_10" xr:uid="{4BD3AEB2-A57D-4C58-991D-0F22DF9552F3}"/>
    <hyperlink ref="I342:I343" r:id="rId105" display="https://mahendranw-my.sharepoint.com/:w:/r/personal/abuthahir_babu_mnw_co_in/_layouts/15/Doc.aspx?sourcedoc=%7B593622CE-26B1-4C80-823F-795CA2BDF7C1%7D&amp;file=Libre%20Cad%20Sop%20final.docx&amp;action=default&amp;mobileredirect=true&amp;DefaultItemOpen=1&amp;wdOrigin=EXCELONLINE.SHELL%2CAPPHOME-WEB.FILEBROWSER.RECENT&amp;wdPreviousSession=59364346-590b-4b8a-96d1-3db36760f450&amp;wdPreviousSessionSrc=AppHomeWeb&amp;ct=1749527433635" xr:uid="{E78E130E-0EAB-4B15-9736-EE69D005B7EB}"/>
    <hyperlink ref="I83:I86" r:id="rId106" location="slide=id.g32bded8bf1e_0_10" display="https://docs.google.com/presentation/d/1TFbEgMMIZfmT_xcYYbh0Xm0mQtif8Y7bWEjStUgh6bo/edit#slide=id.g32bded8bf1e_0_10" xr:uid="{C18CB5F9-EF24-4475-A8D6-F9E70C16FD0E}"/>
    <hyperlink ref="I113:I118" r:id="rId107" location="slide=id.p" display="https://docs.google.com/presentation/d/1q_J4W03pRtoOtI7z_MZd8Kn7bCcPPWwu1hJp-CRgN0Y/edit#slide=id.p" xr:uid="{2D277E7E-4051-4BE2-9CAE-85607411A5D6}"/>
    <hyperlink ref="I352:I353" r:id="rId108" display="https://mahendranw-my.sharepoint.com/:w:/r/personal/abuthahir_babu_mnw_co_in/_layouts/15/Doc.aspx?sourcedoc=%7B593622CE-26B1-4C80-823F-795CA2BDF7C1%7D&amp;file=Libre%20Cad%20Sop%20final.docx&amp;action=default&amp;mobileredirect=true&amp;DefaultItemOpen=1&amp;wdOrigin=EXCELONLINE.SHELL%2CAPPHOME-WEB.FILEBROWSER.RECENT&amp;wdPreviousSession=59364346-590b-4b8a-96d1-3db36760f450&amp;wdPreviousSessionSrc=AppHomeWeb&amp;ct=1749527433635" xr:uid="{FFFD1F27-2B53-4F2A-B083-35CF2E2F16DE}"/>
    <hyperlink ref="I354:I355" r:id="rId109" display="https://mahendranw-my.sharepoint.com/:w:/r/personal/abuthahir_babu_mnw_co_in/_layouts/15/Doc.aspx?sourcedoc=%7B593622CE-26B1-4C80-823F-795CA2BDF7C1%7D&amp;file=Libre%20Cad%20Sop%20final.docx&amp;action=default&amp;mobileredirect=true&amp;DefaultItemOpen=1&amp;wdOrigin=EXCELONLINE.SHELL%2CAPPHOME-WEB.FILEBROWSER.RECENT&amp;wdPreviousSession=59364346-590b-4b8a-96d1-3db36760f450&amp;wdPreviousSessionSrc=AppHomeWeb&amp;ct=1749527433635" xr:uid="{75487145-A9EE-420E-BD24-C0178D4064D1}"/>
    <hyperlink ref="I356:I357" r:id="rId110" display="https://mahendranw-my.sharepoint.com/:w:/r/personal/abuthahir_babu_mnw_co_in/_layouts/15/Doc.aspx?sourcedoc=%7B593622CE-26B1-4C80-823F-795CA2BDF7C1%7D&amp;file=Libre%20Cad%20Sop%20final.docx&amp;action=default&amp;mobileredirect=true&amp;DefaultItemOpen=1&amp;wdOrigin=EXCELONLINE.SHELL%2CAPPHOME-WEB.FILEBROWSER.RECENT&amp;wdPreviousSession=59364346-590b-4b8a-96d1-3db36760f450&amp;wdPreviousSessionSrc=AppHomeWeb&amp;ct=1749527433635" xr:uid="{2F14EAB8-B48B-410B-B4BD-9E2619DF16A8}"/>
    <hyperlink ref="I358:I359" r:id="rId111" display="https://mahendranw-my.sharepoint.com/:w:/r/personal/abuthahir_babu_mnw_co_in/_layouts/15/Doc.aspx?sourcedoc=%7B593622CE-26B1-4C80-823F-795CA2BDF7C1%7D&amp;file=Libre%20Cad%20Sop%20final.docx&amp;action=default&amp;mobileredirect=true&amp;DefaultItemOpen=1&amp;wdOrigin=EXCELONLINE.SHELL%2CAPPHOME-WEB.FILEBROWSER.RECENT&amp;wdPreviousSession=59364346-590b-4b8a-96d1-3db36760f450&amp;wdPreviousSessionSrc=AppHomeWeb&amp;ct=1749527433635" xr:uid="{A16F370D-4FE8-4BCE-AC96-72AF6E53C333}"/>
    <hyperlink ref="I360:I361" r:id="rId112" display="https://mahendranw-my.sharepoint.com/:w:/r/personal/abuthahir_babu_mnw_co_in/_layouts/15/Doc.aspx?sourcedoc=%7B593622CE-26B1-4C80-823F-795CA2BDF7C1%7D&amp;file=Libre%20Cad%20Sop%20final.docx&amp;action=default&amp;mobileredirect=true&amp;DefaultItemOpen=1&amp;wdOrigin=EXCELONLINE.SHELL%2CAPPHOME-WEB.FILEBROWSER.RECENT&amp;wdPreviousSession=59364346-590b-4b8a-96d1-3db36760f450&amp;wdPreviousSessionSrc=AppHomeWeb&amp;ct=1749527433635" xr:uid="{FB9FF400-88C4-49F1-BDFE-46F311F1ADB4}"/>
    <hyperlink ref="I362:I363" r:id="rId113" display="\\10.10.0.14\MasterMinds\Vcognition\Exception Handling\Reports\CAD\SOP" xr:uid="{B82E7536-A20F-4158-A601-21655E8CE31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238AA-3585-4D45-A0C8-F2E965DD67CC}">
  <dimension ref="B2:T39"/>
  <sheetViews>
    <sheetView workbookViewId="0">
      <pane ySplit="2" topLeftCell="A32" activePane="bottomLeft" state="frozen"/>
      <selection pane="bottomLeft" activeCell="N26" sqref="N26"/>
    </sheetView>
  </sheetViews>
  <sheetFormatPr defaultRowHeight="15" customHeight="1"/>
  <cols>
    <col min="1" max="1" width="9.140625" style="13"/>
    <col min="2" max="2" width="6.140625" style="13" bestFit="1" customWidth="1"/>
    <col min="3" max="3" width="14.7109375" style="13" customWidth="1"/>
    <col min="4" max="4" width="26.7109375" style="13" customWidth="1"/>
    <col min="5" max="5" width="18.5703125" style="13" customWidth="1"/>
    <col min="6" max="6" width="33" style="13" customWidth="1"/>
    <col min="7" max="7" width="16" style="13" customWidth="1"/>
    <col min="8" max="8" width="19" style="13" customWidth="1"/>
    <col min="9" max="9" width="17.7109375" style="78" customWidth="1"/>
    <col min="10" max="10" width="8" style="13" bestFit="1" customWidth="1"/>
    <col min="11" max="15" width="9.140625" style="13"/>
    <col min="16" max="16" width="19.28515625" style="13" customWidth="1"/>
    <col min="17" max="17" width="33.28515625" style="13" customWidth="1"/>
    <col min="18" max="18" width="28.28515625" style="13" customWidth="1"/>
    <col min="19" max="19" width="58.85546875" style="13" customWidth="1"/>
    <col min="20" max="20" width="54.28515625" style="13" customWidth="1"/>
    <col min="21" max="16384" width="9.140625" style="13"/>
  </cols>
  <sheetData>
    <row r="2" spans="2:20" ht="25.5" customHeight="1">
      <c r="B2" s="95" t="s">
        <v>172</v>
      </c>
      <c r="C2" s="96" t="s">
        <v>173</v>
      </c>
      <c r="D2" s="96" t="s">
        <v>174</v>
      </c>
      <c r="E2" s="96" t="s">
        <v>175</v>
      </c>
      <c r="F2" s="96" t="s">
        <v>176</v>
      </c>
      <c r="G2" s="96" t="s">
        <v>177</v>
      </c>
      <c r="H2" s="96" t="s">
        <v>178</v>
      </c>
      <c r="I2" s="97" t="s">
        <v>179</v>
      </c>
    </row>
    <row r="3" spans="2:20" ht="53.25" customHeight="1">
      <c r="B3" s="79">
        <v>1</v>
      </c>
      <c r="C3" s="79" t="s">
        <v>180</v>
      </c>
      <c r="D3" s="93" t="s">
        <v>181</v>
      </c>
      <c r="E3" s="80">
        <v>45670</v>
      </c>
      <c r="F3" s="94" t="s">
        <v>182</v>
      </c>
      <c r="G3" s="80">
        <v>45678</v>
      </c>
      <c r="H3" s="79" t="s">
        <v>183</v>
      </c>
      <c r="I3" s="80">
        <v>45687</v>
      </c>
      <c r="N3" s="130" t="s">
        <v>184</v>
      </c>
      <c r="O3" s="128" t="s">
        <v>185</v>
      </c>
      <c r="P3" s="128" t="s">
        <v>186</v>
      </c>
      <c r="Q3" s="128" t="s">
        <v>187</v>
      </c>
      <c r="R3" s="128" t="s">
        <v>188</v>
      </c>
      <c r="S3" s="129" t="s">
        <v>189</v>
      </c>
      <c r="T3" s="129" t="s">
        <v>190</v>
      </c>
    </row>
    <row r="4" spans="2:20" ht="58.5">
      <c r="B4" s="1">
        <v>2</v>
      </c>
      <c r="C4" s="1" t="s">
        <v>191</v>
      </c>
      <c r="D4" s="41" t="s">
        <v>192</v>
      </c>
      <c r="E4" s="75">
        <v>45673</v>
      </c>
      <c r="F4" s="2" t="s">
        <v>193</v>
      </c>
      <c r="G4" s="75">
        <v>45713</v>
      </c>
      <c r="H4" s="1" t="s">
        <v>183</v>
      </c>
      <c r="I4" s="75">
        <v>45711</v>
      </c>
      <c r="N4" s="13">
        <v>1</v>
      </c>
      <c r="O4" s="13">
        <v>3</v>
      </c>
      <c r="P4" s="13">
        <v>3</v>
      </c>
      <c r="Q4" s="13">
        <v>0</v>
      </c>
      <c r="R4" s="13">
        <v>3</v>
      </c>
      <c r="S4" s="13">
        <v>0</v>
      </c>
      <c r="T4" s="13">
        <v>1</v>
      </c>
    </row>
    <row r="5" spans="2:20" ht="58.5">
      <c r="B5" s="1">
        <v>3</v>
      </c>
      <c r="C5" s="1" t="s">
        <v>180</v>
      </c>
      <c r="D5" s="41" t="s">
        <v>194</v>
      </c>
      <c r="E5" s="75">
        <v>45681</v>
      </c>
      <c r="F5" s="2" t="s">
        <v>195</v>
      </c>
      <c r="G5" s="75">
        <v>45705</v>
      </c>
      <c r="H5" s="1" t="s">
        <v>183</v>
      </c>
      <c r="I5" s="75">
        <v>45714</v>
      </c>
      <c r="N5" s="13">
        <v>2</v>
      </c>
      <c r="O5" s="13">
        <v>6</v>
      </c>
      <c r="P5" s="13">
        <v>6</v>
      </c>
      <c r="Q5" s="13">
        <v>3</v>
      </c>
      <c r="R5" s="13">
        <v>0</v>
      </c>
      <c r="S5" s="13">
        <v>0</v>
      </c>
      <c r="T5" s="13">
        <v>2</v>
      </c>
    </row>
    <row r="6" spans="2:20" ht="39.75" customHeight="1">
      <c r="B6" s="288">
        <v>4</v>
      </c>
      <c r="C6" s="288" t="s">
        <v>191</v>
      </c>
      <c r="D6" s="14" t="s">
        <v>196</v>
      </c>
      <c r="E6" s="75">
        <v>45691</v>
      </c>
      <c r="F6" s="2" t="s">
        <v>197</v>
      </c>
      <c r="G6" s="75">
        <v>45694</v>
      </c>
      <c r="H6" s="1" t="s">
        <v>183</v>
      </c>
      <c r="I6" s="106"/>
      <c r="N6" s="13">
        <v>3</v>
      </c>
      <c r="O6" s="13">
        <v>1</v>
      </c>
      <c r="P6" s="13">
        <v>1</v>
      </c>
      <c r="Q6" s="13">
        <v>1</v>
      </c>
      <c r="R6" s="13">
        <v>0</v>
      </c>
      <c r="S6" s="13">
        <v>3</v>
      </c>
      <c r="T6" s="13">
        <v>2</v>
      </c>
    </row>
    <row r="7" spans="2:20" ht="39.75" customHeight="1">
      <c r="B7" s="288"/>
      <c r="C7" s="288"/>
      <c r="D7" s="14" t="s">
        <v>198</v>
      </c>
      <c r="E7" s="75">
        <v>45691</v>
      </c>
      <c r="F7" s="2" t="s">
        <v>199</v>
      </c>
      <c r="G7" s="75">
        <v>45694</v>
      </c>
      <c r="H7" s="1" t="s">
        <v>183</v>
      </c>
      <c r="I7" s="106"/>
      <c r="N7" s="13">
        <v>4</v>
      </c>
      <c r="O7" s="13">
        <v>5</v>
      </c>
      <c r="P7" s="13">
        <v>5</v>
      </c>
      <c r="Q7" s="13">
        <v>2</v>
      </c>
      <c r="R7" s="13">
        <v>3</v>
      </c>
      <c r="S7" s="13">
        <v>4</v>
      </c>
      <c r="T7" s="13">
        <v>1</v>
      </c>
    </row>
    <row r="8" spans="2:20" ht="39.75" customHeight="1">
      <c r="B8" s="288"/>
      <c r="C8" s="288"/>
      <c r="D8" s="14" t="s">
        <v>200</v>
      </c>
      <c r="E8" s="75">
        <v>45691</v>
      </c>
      <c r="F8" s="2" t="s">
        <v>201</v>
      </c>
      <c r="G8" s="75">
        <v>45694</v>
      </c>
      <c r="H8" s="1" t="s">
        <v>183</v>
      </c>
      <c r="I8" s="75">
        <v>45768</v>
      </c>
      <c r="N8" s="13">
        <v>5</v>
      </c>
      <c r="O8" s="13">
        <v>5</v>
      </c>
      <c r="P8" s="13">
        <v>5</v>
      </c>
      <c r="Q8" s="13">
        <v>4</v>
      </c>
      <c r="R8" s="13">
        <v>0</v>
      </c>
      <c r="S8" s="13">
        <v>6</v>
      </c>
      <c r="T8" s="13">
        <v>2</v>
      </c>
    </row>
    <row r="9" spans="2:20" ht="39.75" customHeight="1">
      <c r="B9" s="288"/>
      <c r="C9" s="288"/>
      <c r="D9" s="14" t="s">
        <v>202</v>
      </c>
      <c r="E9" s="75">
        <v>45691</v>
      </c>
      <c r="F9" s="2" t="s">
        <v>203</v>
      </c>
      <c r="G9" s="75">
        <v>45694</v>
      </c>
      <c r="H9" s="1" t="s">
        <v>183</v>
      </c>
      <c r="I9" s="106"/>
      <c r="N9" s="13">
        <v>6</v>
      </c>
      <c r="O9" s="13">
        <v>0</v>
      </c>
      <c r="P9" s="13">
        <v>0</v>
      </c>
      <c r="Q9" s="13">
        <v>0</v>
      </c>
      <c r="R9" s="13">
        <v>0</v>
      </c>
      <c r="S9" s="13">
        <v>0</v>
      </c>
      <c r="T9" s="13">
        <v>0</v>
      </c>
    </row>
    <row r="10" spans="2:20" ht="55.5" customHeight="1">
      <c r="B10" s="288">
        <v>5</v>
      </c>
      <c r="C10" s="288" t="s">
        <v>191</v>
      </c>
      <c r="D10" s="14" t="s">
        <v>204</v>
      </c>
      <c r="E10" s="75">
        <v>45715</v>
      </c>
      <c r="F10" s="288" t="s">
        <v>205</v>
      </c>
      <c r="G10" s="75">
        <v>45719</v>
      </c>
      <c r="H10" s="1" t="s">
        <v>183</v>
      </c>
      <c r="I10" s="75">
        <v>45743</v>
      </c>
      <c r="N10" s="13">
        <v>7</v>
      </c>
      <c r="O10" s="13">
        <v>5</v>
      </c>
      <c r="P10" s="13">
        <v>5</v>
      </c>
      <c r="Q10" s="13">
        <v>4</v>
      </c>
      <c r="R10" s="13">
        <v>1</v>
      </c>
      <c r="S10" s="13">
        <v>0</v>
      </c>
      <c r="T10" s="13">
        <v>0</v>
      </c>
    </row>
    <row r="11" spans="2:20" ht="55.5" customHeight="1">
      <c r="B11" s="288"/>
      <c r="C11" s="288"/>
      <c r="D11" s="14" t="s">
        <v>206</v>
      </c>
      <c r="E11" s="75">
        <v>45715</v>
      </c>
      <c r="F11" s="288"/>
      <c r="G11" s="75">
        <v>45719</v>
      </c>
      <c r="H11" s="1" t="s">
        <v>183</v>
      </c>
      <c r="I11" s="75">
        <v>45738</v>
      </c>
      <c r="N11" s="13">
        <v>8</v>
      </c>
      <c r="O11" s="13">
        <v>3</v>
      </c>
      <c r="P11" s="13">
        <v>3</v>
      </c>
      <c r="Q11" s="13">
        <v>3</v>
      </c>
      <c r="R11" s="13">
        <v>0</v>
      </c>
      <c r="S11" s="13">
        <v>0</v>
      </c>
      <c r="T11" s="13">
        <v>0</v>
      </c>
    </row>
    <row r="12" spans="2:20" ht="53.25" customHeight="1">
      <c r="B12" s="1">
        <v>6</v>
      </c>
      <c r="C12" s="1" t="s">
        <v>191</v>
      </c>
      <c r="D12" s="41" t="s">
        <v>78</v>
      </c>
      <c r="E12" s="75">
        <v>45719</v>
      </c>
      <c r="F12" s="12">
        <v>45720</v>
      </c>
      <c r="G12" s="75">
        <v>45720</v>
      </c>
      <c r="H12" s="1" t="s">
        <v>207</v>
      </c>
      <c r="I12" s="106"/>
      <c r="N12" s="13">
        <v>9</v>
      </c>
      <c r="O12" s="13">
        <v>4</v>
      </c>
      <c r="P12" s="13">
        <v>4</v>
      </c>
      <c r="Q12" s="13">
        <v>4</v>
      </c>
      <c r="R12" s="13">
        <v>0</v>
      </c>
      <c r="S12" s="13">
        <v>0</v>
      </c>
      <c r="T12" s="13">
        <v>0</v>
      </c>
    </row>
    <row r="13" spans="2:20" ht="51.75" customHeight="1">
      <c r="B13" s="1">
        <v>7</v>
      </c>
      <c r="C13" s="1" t="s">
        <v>180</v>
      </c>
      <c r="D13" s="41" t="s">
        <v>95</v>
      </c>
      <c r="E13" s="75">
        <v>45750</v>
      </c>
      <c r="F13" s="2" t="s">
        <v>208</v>
      </c>
      <c r="G13" s="75">
        <v>45775</v>
      </c>
      <c r="H13" s="1" t="s">
        <v>183</v>
      </c>
      <c r="I13" s="75">
        <v>45962</v>
      </c>
      <c r="N13" s="13">
        <v>10</v>
      </c>
      <c r="O13" s="13">
        <v>2</v>
      </c>
      <c r="P13" s="13">
        <v>2</v>
      </c>
      <c r="Q13" s="13">
        <v>20</v>
      </c>
      <c r="R13" s="13">
        <v>2</v>
      </c>
      <c r="S13" s="13">
        <v>0</v>
      </c>
      <c r="T13" s="13">
        <v>0</v>
      </c>
    </row>
    <row r="14" spans="2:20" ht="43.5" customHeight="1">
      <c r="B14" s="312">
        <v>8</v>
      </c>
      <c r="C14" s="312" t="s">
        <v>191</v>
      </c>
      <c r="D14" s="76" t="s">
        <v>209</v>
      </c>
      <c r="E14" s="75">
        <v>45758</v>
      </c>
      <c r="F14" s="314" t="s">
        <v>210</v>
      </c>
      <c r="G14" s="75">
        <v>45763</v>
      </c>
      <c r="H14" s="1" t="s">
        <v>183</v>
      </c>
      <c r="I14" s="75">
        <v>45771</v>
      </c>
      <c r="N14" s="13">
        <v>11</v>
      </c>
      <c r="O14" s="13">
        <v>2</v>
      </c>
      <c r="P14" s="13">
        <v>2</v>
      </c>
    </row>
    <row r="15" spans="2:20" ht="43.5" customHeight="1">
      <c r="B15" s="316"/>
      <c r="C15" s="316"/>
      <c r="D15" s="76" t="s">
        <v>211</v>
      </c>
      <c r="E15" s="75">
        <v>45758</v>
      </c>
      <c r="F15" s="315"/>
      <c r="G15" s="75">
        <v>45801</v>
      </c>
      <c r="H15" s="1" t="s">
        <v>183</v>
      </c>
      <c r="I15" s="75">
        <v>45823</v>
      </c>
      <c r="N15" s="13">
        <v>12</v>
      </c>
    </row>
    <row r="16" spans="2:20" ht="36.75" customHeight="1">
      <c r="B16" s="312">
        <v>9</v>
      </c>
      <c r="C16" s="312" t="s">
        <v>191</v>
      </c>
      <c r="D16" s="77" t="s">
        <v>212</v>
      </c>
      <c r="E16" s="75">
        <v>45763</v>
      </c>
      <c r="F16" s="314" t="s">
        <v>213</v>
      </c>
      <c r="G16" s="75">
        <v>45764</v>
      </c>
      <c r="H16" s="1" t="s">
        <v>183</v>
      </c>
      <c r="I16" s="314">
        <v>45787</v>
      </c>
    </row>
    <row r="17" spans="2:9" ht="42" customHeight="1">
      <c r="B17" s="316"/>
      <c r="C17" s="316"/>
      <c r="D17" s="77" t="s">
        <v>214</v>
      </c>
      <c r="E17" s="75">
        <v>45763</v>
      </c>
      <c r="F17" s="315"/>
      <c r="G17" s="75">
        <v>45764</v>
      </c>
      <c r="H17" s="1" t="s">
        <v>183</v>
      </c>
      <c r="I17" s="315"/>
    </row>
    <row r="18" spans="2:9" ht="43.5" customHeight="1">
      <c r="B18" s="1">
        <v>10</v>
      </c>
      <c r="C18" s="98" t="s">
        <v>191</v>
      </c>
      <c r="D18" s="77" t="s">
        <v>215</v>
      </c>
      <c r="E18" s="75">
        <v>45782</v>
      </c>
      <c r="F18" s="12">
        <v>45782</v>
      </c>
      <c r="G18" s="75">
        <v>45782</v>
      </c>
      <c r="H18" s="1" t="s">
        <v>207</v>
      </c>
      <c r="I18" s="106"/>
    </row>
    <row r="19" spans="2:9" ht="36.75" customHeight="1">
      <c r="B19" s="1">
        <v>11</v>
      </c>
      <c r="C19" s="98" t="s">
        <v>191</v>
      </c>
      <c r="D19" s="77" t="s">
        <v>216</v>
      </c>
      <c r="E19" s="75">
        <v>45783</v>
      </c>
      <c r="F19" s="1" t="s">
        <v>217</v>
      </c>
      <c r="G19" s="75">
        <v>45783</v>
      </c>
      <c r="H19" s="1" t="s">
        <v>207</v>
      </c>
      <c r="I19" s="106"/>
    </row>
    <row r="20" spans="2:9" ht="36.75" customHeight="1">
      <c r="B20" s="312">
        <v>12</v>
      </c>
      <c r="C20" s="312" t="s">
        <v>191</v>
      </c>
      <c r="D20" s="77" t="s">
        <v>218</v>
      </c>
      <c r="E20" s="75">
        <v>45794</v>
      </c>
      <c r="F20" s="12">
        <v>45798</v>
      </c>
      <c r="G20" s="75">
        <v>45794</v>
      </c>
      <c r="H20" s="1" t="s">
        <v>183</v>
      </c>
      <c r="I20" s="75">
        <v>45961</v>
      </c>
    </row>
    <row r="21" spans="2:9" ht="36.75" customHeight="1">
      <c r="B21" s="313"/>
      <c r="C21" s="313"/>
      <c r="D21" s="126" t="s">
        <v>219</v>
      </c>
      <c r="E21" s="125">
        <v>45794</v>
      </c>
      <c r="F21" s="124">
        <v>45798</v>
      </c>
      <c r="G21" s="125">
        <v>45794</v>
      </c>
      <c r="H21" s="98" t="s">
        <v>207</v>
      </c>
      <c r="I21" s="127"/>
    </row>
    <row r="22" spans="2:9" ht="44.25" customHeight="1">
      <c r="B22" s="1">
        <v>13</v>
      </c>
      <c r="C22" s="1" t="s">
        <v>180</v>
      </c>
      <c r="D22" s="77" t="s">
        <v>220</v>
      </c>
      <c r="E22" s="75">
        <v>45799</v>
      </c>
      <c r="F22" s="75" t="s">
        <v>221</v>
      </c>
      <c r="G22" s="75">
        <v>46003</v>
      </c>
      <c r="H22" s="1" t="s">
        <v>207</v>
      </c>
      <c r="I22" s="106"/>
    </row>
    <row r="23" spans="2:9" ht="38.25" customHeight="1">
      <c r="B23" s="1">
        <v>14</v>
      </c>
      <c r="C23" s="1" t="s">
        <v>180</v>
      </c>
      <c r="D23" s="77" t="s">
        <v>222</v>
      </c>
      <c r="E23" s="75">
        <v>45856</v>
      </c>
      <c r="F23" s="12" t="s">
        <v>223</v>
      </c>
      <c r="G23" s="75">
        <v>45861</v>
      </c>
      <c r="H23" s="1" t="s">
        <v>183</v>
      </c>
      <c r="I23" s="75">
        <v>45875</v>
      </c>
    </row>
    <row r="24" spans="2:9" ht="38.25" customHeight="1">
      <c r="B24" s="1">
        <v>15</v>
      </c>
      <c r="C24" s="1" t="s">
        <v>180</v>
      </c>
      <c r="D24" s="77" t="s">
        <v>224</v>
      </c>
      <c r="E24" s="75">
        <v>45859</v>
      </c>
      <c r="F24" s="12">
        <v>45860</v>
      </c>
      <c r="G24" s="75">
        <v>45859</v>
      </c>
      <c r="H24" s="1" t="s">
        <v>207</v>
      </c>
      <c r="I24" s="106"/>
    </row>
    <row r="25" spans="2:9" ht="39" customHeight="1">
      <c r="B25" s="1">
        <v>16</v>
      </c>
      <c r="C25" s="1" t="s">
        <v>191</v>
      </c>
      <c r="D25" s="77" t="s">
        <v>225</v>
      </c>
      <c r="E25" s="75">
        <v>45868</v>
      </c>
      <c r="F25" s="75">
        <v>45869</v>
      </c>
      <c r="G25" s="75">
        <v>45869</v>
      </c>
      <c r="H25" s="1" t="s">
        <v>183</v>
      </c>
      <c r="I25" s="75">
        <v>45927</v>
      </c>
    </row>
    <row r="26" spans="2:9" ht="42.75" customHeight="1">
      <c r="B26" s="1">
        <v>17</v>
      </c>
      <c r="C26" s="1" t="s">
        <v>191</v>
      </c>
      <c r="D26" s="77" t="s">
        <v>226</v>
      </c>
      <c r="E26" s="75">
        <v>45868</v>
      </c>
      <c r="F26" s="75">
        <v>45869</v>
      </c>
      <c r="G26" s="75">
        <v>45869</v>
      </c>
      <c r="H26" s="1" t="s">
        <v>183</v>
      </c>
      <c r="I26" s="75">
        <v>45938</v>
      </c>
    </row>
    <row r="27" spans="2:9" ht="42" customHeight="1">
      <c r="B27" s="1">
        <v>18</v>
      </c>
      <c r="C27" s="1" t="s">
        <v>180</v>
      </c>
      <c r="D27" s="77" t="s">
        <v>227</v>
      </c>
      <c r="E27" s="75">
        <v>45868</v>
      </c>
      <c r="F27" s="75">
        <v>45888</v>
      </c>
      <c r="G27" s="75">
        <v>45888</v>
      </c>
      <c r="H27" s="1" t="s">
        <v>183</v>
      </c>
      <c r="I27" s="75">
        <v>45938</v>
      </c>
    </row>
    <row r="28" spans="2:9" ht="39.75" customHeight="1">
      <c r="B28" s="1">
        <v>19</v>
      </c>
      <c r="C28" s="1" t="s">
        <v>180</v>
      </c>
      <c r="D28" s="77" t="s">
        <v>228</v>
      </c>
      <c r="E28" s="75">
        <v>45870</v>
      </c>
      <c r="F28" s="75">
        <v>45876</v>
      </c>
      <c r="G28" s="75">
        <v>45876</v>
      </c>
      <c r="H28" s="1" t="s">
        <v>207</v>
      </c>
      <c r="I28" s="106"/>
    </row>
    <row r="29" spans="2:9" ht="36.75" customHeight="1">
      <c r="B29" s="1">
        <v>20</v>
      </c>
      <c r="C29" s="1" t="s">
        <v>191</v>
      </c>
      <c r="D29" s="77" t="s">
        <v>229</v>
      </c>
      <c r="E29" s="75">
        <v>45891</v>
      </c>
      <c r="F29" s="75" t="s">
        <v>230</v>
      </c>
      <c r="G29" s="75">
        <v>45923</v>
      </c>
      <c r="H29" s="1" t="s">
        <v>207</v>
      </c>
      <c r="I29" s="106"/>
    </row>
    <row r="30" spans="2:9" ht="44.25" customHeight="1">
      <c r="B30" s="1">
        <v>21</v>
      </c>
      <c r="C30" s="1" t="s">
        <v>180</v>
      </c>
      <c r="D30" s="77" t="s">
        <v>231</v>
      </c>
      <c r="E30" s="75">
        <v>45895</v>
      </c>
      <c r="F30" s="75"/>
      <c r="G30" s="75">
        <v>45895</v>
      </c>
      <c r="H30" s="1" t="s">
        <v>207</v>
      </c>
      <c r="I30" s="106"/>
    </row>
    <row r="31" spans="2:9" ht="45" customHeight="1">
      <c r="B31" s="1">
        <v>22</v>
      </c>
      <c r="C31" s="1" t="s">
        <v>180</v>
      </c>
      <c r="D31" s="77" t="s">
        <v>232</v>
      </c>
      <c r="E31" s="75">
        <v>45910</v>
      </c>
      <c r="F31" s="75">
        <v>45936</v>
      </c>
      <c r="G31" s="75">
        <v>45936</v>
      </c>
      <c r="H31" s="1" t="s">
        <v>207</v>
      </c>
      <c r="I31" s="106"/>
    </row>
    <row r="32" spans="2:9" ht="44.25" customHeight="1">
      <c r="B32" s="1">
        <v>23</v>
      </c>
      <c r="C32" s="1" t="s">
        <v>191</v>
      </c>
      <c r="D32" s="77" t="s">
        <v>233</v>
      </c>
      <c r="E32" s="75">
        <v>45911</v>
      </c>
      <c r="F32" s="75" t="s">
        <v>234</v>
      </c>
      <c r="G32" s="75">
        <v>45972</v>
      </c>
      <c r="H32" s="1" t="s">
        <v>183</v>
      </c>
      <c r="I32" s="75">
        <v>45988</v>
      </c>
    </row>
    <row r="33" spans="2:9" ht="45.75" customHeight="1">
      <c r="B33" s="1">
        <v>24</v>
      </c>
      <c r="C33" s="1" t="s">
        <v>180</v>
      </c>
      <c r="D33" s="77" t="s">
        <v>235</v>
      </c>
      <c r="E33" s="75">
        <v>45913</v>
      </c>
      <c r="F33" s="75">
        <v>45916</v>
      </c>
      <c r="G33" s="75">
        <v>45916</v>
      </c>
      <c r="H33" s="1" t="s">
        <v>207</v>
      </c>
      <c r="I33" s="106"/>
    </row>
    <row r="34" spans="2:9" ht="44.25" customHeight="1">
      <c r="B34" s="1">
        <v>25</v>
      </c>
      <c r="C34" s="1" t="s">
        <v>191</v>
      </c>
      <c r="D34" s="77" t="s">
        <v>236</v>
      </c>
      <c r="E34" s="75">
        <v>45922</v>
      </c>
      <c r="F34" s="75" t="s">
        <v>237</v>
      </c>
      <c r="G34" s="75">
        <v>45972</v>
      </c>
      <c r="H34" s="1" t="s">
        <v>183</v>
      </c>
      <c r="I34" s="75">
        <v>45988</v>
      </c>
    </row>
    <row r="35" spans="2:9" ht="46.5" customHeight="1">
      <c r="B35" s="1">
        <v>26</v>
      </c>
      <c r="C35" s="1" t="s">
        <v>191</v>
      </c>
      <c r="D35" s="190" t="s">
        <v>238</v>
      </c>
      <c r="E35" s="75">
        <v>45940</v>
      </c>
      <c r="F35" s="75" t="s">
        <v>239</v>
      </c>
      <c r="G35" s="75">
        <v>45943</v>
      </c>
      <c r="H35" s="1" t="s">
        <v>207</v>
      </c>
      <c r="I35" s="106"/>
    </row>
    <row r="36" spans="2:9" ht="41.25" customHeight="1">
      <c r="B36" s="1">
        <v>27</v>
      </c>
      <c r="C36" s="1" t="s">
        <v>180</v>
      </c>
      <c r="D36" s="190" t="s">
        <v>240</v>
      </c>
      <c r="E36" s="75">
        <v>45954</v>
      </c>
      <c r="F36" s="75" t="s">
        <v>241</v>
      </c>
      <c r="G36" s="75">
        <v>46008</v>
      </c>
      <c r="H36" s="1" t="s">
        <v>207</v>
      </c>
      <c r="I36" s="106"/>
    </row>
    <row r="37" spans="2:9" ht="42" customHeight="1">
      <c r="B37" s="1">
        <v>28</v>
      </c>
      <c r="C37" s="1" t="s">
        <v>191</v>
      </c>
      <c r="D37" s="190" t="s">
        <v>242</v>
      </c>
      <c r="E37" s="75">
        <v>45966</v>
      </c>
      <c r="F37" s="75" t="s">
        <v>243</v>
      </c>
      <c r="G37" s="75">
        <v>46017</v>
      </c>
      <c r="H37" s="1" t="s">
        <v>207</v>
      </c>
      <c r="I37" s="106"/>
    </row>
    <row r="38" spans="2:9" ht="39.75" customHeight="1">
      <c r="B38" s="1">
        <v>29</v>
      </c>
      <c r="C38" s="1" t="s">
        <v>191</v>
      </c>
      <c r="D38" s="190" t="s">
        <v>244</v>
      </c>
      <c r="E38" s="75">
        <v>45984</v>
      </c>
      <c r="F38" s="75"/>
      <c r="G38" s="75">
        <v>45984</v>
      </c>
      <c r="H38" s="1" t="s">
        <v>207</v>
      </c>
      <c r="I38" s="106"/>
    </row>
    <row r="39" spans="2:9" ht="36" customHeight="1">
      <c r="B39" s="1">
        <v>30</v>
      </c>
      <c r="C39" s="1" t="s">
        <v>191</v>
      </c>
      <c r="D39" s="190" t="s">
        <v>245</v>
      </c>
      <c r="E39" s="75">
        <v>46000</v>
      </c>
      <c r="F39" s="75">
        <v>46001</v>
      </c>
      <c r="G39" s="75">
        <v>46000</v>
      </c>
      <c r="H39" s="1" t="s">
        <v>207</v>
      </c>
      <c r="I39" s="106"/>
    </row>
  </sheetData>
  <mergeCells count="14">
    <mergeCell ref="C6:C9"/>
    <mergeCell ref="B6:B9"/>
    <mergeCell ref="I16:I17"/>
    <mergeCell ref="C14:C15"/>
    <mergeCell ref="F14:F15"/>
    <mergeCell ref="B14:B15"/>
    <mergeCell ref="B16:B17"/>
    <mergeCell ref="C16:C17"/>
    <mergeCell ref="F16:F17"/>
    <mergeCell ref="B20:B21"/>
    <mergeCell ref="C20:C21"/>
    <mergeCell ref="B10:B11"/>
    <mergeCell ref="C10:C11"/>
    <mergeCell ref="F10:F11"/>
  </mergeCells>
  <dataValidations count="2">
    <dataValidation type="list" allowBlank="1" showInputMessage="1" showErrorMessage="1" sqref="C3:C6 C10 C12:C14 C16 C18:C20 C22:C39" xr:uid="{1DEE8E33-8327-4DDD-B520-737EB39150B8}">
      <formula1>"Event, Non-Event"</formula1>
    </dataValidation>
    <dataValidation type="list" allowBlank="1" showInputMessage="1" showErrorMessage="1" sqref="H3:H39" xr:uid="{E086DE36-9414-4EDE-86A6-E0192ED8AFB8}">
      <formula1>"Yes,No"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87EC7-8119-4BAA-A458-C15E79ACD8B8}">
  <dimension ref="B2:F40"/>
  <sheetViews>
    <sheetView workbookViewId="0">
      <pane ySplit="2" topLeftCell="A34" activePane="bottomLeft" state="frozen"/>
      <selection pane="bottomLeft" activeCell="E44" sqref="E44"/>
    </sheetView>
  </sheetViews>
  <sheetFormatPr defaultRowHeight="15"/>
  <cols>
    <col min="2" max="2" width="9.42578125" customWidth="1"/>
    <col min="3" max="3" width="12.140625" customWidth="1"/>
    <col min="4" max="4" width="52.140625" customWidth="1"/>
    <col min="5" max="5" width="61.5703125" customWidth="1"/>
    <col min="6" max="6" width="15.7109375" customWidth="1"/>
  </cols>
  <sheetData>
    <row r="2" spans="2:6" ht="24" customHeight="1">
      <c r="B2" s="95" t="s">
        <v>246</v>
      </c>
      <c r="C2" s="96" t="s">
        <v>173</v>
      </c>
      <c r="D2" s="96" t="s">
        <v>174</v>
      </c>
      <c r="E2" s="96" t="s">
        <v>247</v>
      </c>
      <c r="F2" s="96" t="s">
        <v>178</v>
      </c>
    </row>
    <row r="3" spans="2:6" ht="42" customHeight="1">
      <c r="B3" s="79">
        <v>1</v>
      </c>
      <c r="C3" s="79" t="s">
        <v>180</v>
      </c>
      <c r="D3" s="93" t="s">
        <v>181</v>
      </c>
      <c r="E3" s="161" t="s">
        <v>248</v>
      </c>
      <c r="F3" s="79" t="s">
        <v>183</v>
      </c>
    </row>
    <row r="4" spans="2:6" ht="39.75" customHeight="1">
      <c r="B4" s="1">
        <v>2</v>
      </c>
      <c r="C4" s="1" t="s">
        <v>191</v>
      </c>
      <c r="D4" s="41" t="s">
        <v>192</v>
      </c>
      <c r="E4" s="157" t="s">
        <v>249</v>
      </c>
      <c r="F4" s="1" t="s">
        <v>183</v>
      </c>
    </row>
    <row r="5" spans="2:6" ht="40.5" customHeight="1">
      <c r="B5" s="1">
        <v>3</v>
      </c>
      <c r="C5" s="1" t="s">
        <v>180</v>
      </c>
      <c r="D5" s="41" t="s">
        <v>194</v>
      </c>
      <c r="E5" s="157" t="s">
        <v>250</v>
      </c>
      <c r="F5" s="1" t="s">
        <v>183</v>
      </c>
    </row>
    <row r="6" spans="2:6" ht="44.25" customHeight="1">
      <c r="B6" s="288">
        <v>4</v>
      </c>
      <c r="C6" s="288" t="s">
        <v>191</v>
      </c>
      <c r="D6" s="14" t="s">
        <v>196</v>
      </c>
      <c r="E6" s="157" t="s">
        <v>251</v>
      </c>
      <c r="F6" s="1" t="s">
        <v>207</v>
      </c>
    </row>
    <row r="7" spans="2:6" ht="42" customHeight="1">
      <c r="B7" s="288"/>
      <c r="C7" s="288"/>
      <c r="D7" s="14" t="s">
        <v>198</v>
      </c>
      <c r="E7" s="157" t="s">
        <v>252</v>
      </c>
      <c r="F7" s="1" t="s">
        <v>207</v>
      </c>
    </row>
    <row r="8" spans="2:6" ht="44.25" customHeight="1">
      <c r="B8" s="288"/>
      <c r="C8" s="288"/>
      <c r="D8" s="14" t="s">
        <v>200</v>
      </c>
      <c r="E8" s="157" t="s">
        <v>253</v>
      </c>
      <c r="F8" s="1" t="s">
        <v>183</v>
      </c>
    </row>
    <row r="9" spans="2:6" ht="42" customHeight="1">
      <c r="B9" s="288"/>
      <c r="C9" s="288"/>
      <c r="D9" s="14" t="s">
        <v>202</v>
      </c>
      <c r="E9" s="157" t="s">
        <v>254</v>
      </c>
      <c r="F9" s="1" t="s">
        <v>207</v>
      </c>
    </row>
    <row r="10" spans="2:6" ht="43.5">
      <c r="B10" s="288">
        <v>5</v>
      </c>
      <c r="C10" s="288" t="s">
        <v>191</v>
      </c>
      <c r="D10" s="14" t="s">
        <v>204</v>
      </c>
      <c r="E10" s="157" t="s">
        <v>255</v>
      </c>
      <c r="F10" s="1" t="s">
        <v>183</v>
      </c>
    </row>
    <row r="11" spans="2:6" ht="43.5">
      <c r="B11" s="288"/>
      <c r="C11" s="288"/>
      <c r="D11" s="14" t="s">
        <v>206</v>
      </c>
      <c r="E11" s="157" t="s">
        <v>255</v>
      </c>
      <c r="F11" s="1" t="s">
        <v>183</v>
      </c>
    </row>
    <row r="12" spans="2:6" ht="29.25">
      <c r="B12" s="1">
        <v>6</v>
      </c>
      <c r="C12" s="1" t="s">
        <v>191</v>
      </c>
      <c r="D12" s="41" t="s">
        <v>78</v>
      </c>
      <c r="E12" s="157" t="s">
        <v>256</v>
      </c>
      <c r="F12" s="1" t="s">
        <v>207</v>
      </c>
    </row>
    <row r="13" spans="2:6" ht="43.5">
      <c r="B13" s="1">
        <v>7</v>
      </c>
      <c r="C13" s="1" t="s">
        <v>180</v>
      </c>
      <c r="D13" s="41" t="s">
        <v>95</v>
      </c>
      <c r="E13" s="157" t="s">
        <v>257</v>
      </c>
      <c r="F13" s="1" t="s">
        <v>207</v>
      </c>
    </row>
    <row r="14" spans="2:6" ht="43.5">
      <c r="B14" s="312">
        <v>8</v>
      </c>
      <c r="C14" s="312" t="s">
        <v>191</v>
      </c>
      <c r="D14" s="76" t="s">
        <v>209</v>
      </c>
      <c r="E14" s="157" t="s">
        <v>258</v>
      </c>
      <c r="F14" s="1" t="s">
        <v>183</v>
      </c>
    </row>
    <row r="15" spans="2:6" ht="43.5">
      <c r="B15" s="316"/>
      <c r="C15" s="316"/>
      <c r="D15" s="76" t="s">
        <v>211</v>
      </c>
      <c r="E15" s="157" t="s">
        <v>258</v>
      </c>
      <c r="F15" s="1" t="s">
        <v>183</v>
      </c>
    </row>
    <row r="16" spans="2:6" ht="43.5">
      <c r="B16" s="312">
        <v>9</v>
      </c>
      <c r="C16" s="312" t="s">
        <v>191</v>
      </c>
      <c r="D16" s="77" t="s">
        <v>212</v>
      </c>
      <c r="E16" s="157" t="s">
        <v>259</v>
      </c>
      <c r="F16" s="1" t="s">
        <v>183</v>
      </c>
    </row>
    <row r="17" spans="2:6" ht="43.5">
      <c r="B17" s="316"/>
      <c r="C17" s="316"/>
      <c r="D17" s="77" t="s">
        <v>214</v>
      </c>
      <c r="E17" s="157" t="s">
        <v>259</v>
      </c>
      <c r="F17" s="1" t="s">
        <v>183</v>
      </c>
    </row>
    <row r="18" spans="2:6" ht="43.5">
      <c r="B18" s="1">
        <v>10</v>
      </c>
      <c r="C18" s="98" t="s">
        <v>191</v>
      </c>
      <c r="D18" s="77" t="s">
        <v>215</v>
      </c>
      <c r="E18" s="157" t="s">
        <v>260</v>
      </c>
      <c r="F18" s="1" t="s">
        <v>207</v>
      </c>
    </row>
    <row r="19" spans="2:6" ht="43.5">
      <c r="B19" s="1">
        <v>11</v>
      </c>
      <c r="C19" s="98" t="s">
        <v>191</v>
      </c>
      <c r="D19" s="77" t="s">
        <v>216</v>
      </c>
      <c r="E19" s="157" t="s">
        <v>261</v>
      </c>
      <c r="F19" s="1" t="s">
        <v>207</v>
      </c>
    </row>
    <row r="20" spans="2:6" ht="43.5">
      <c r="B20" s="312">
        <v>12</v>
      </c>
      <c r="C20" s="312" t="s">
        <v>191</v>
      </c>
      <c r="D20" s="77" t="s">
        <v>218</v>
      </c>
      <c r="E20" s="157" t="s">
        <v>262</v>
      </c>
      <c r="F20" s="1" t="s">
        <v>207</v>
      </c>
    </row>
    <row r="21" spans="2:6" ht="43.5">
      <c r="B21" s="313"/>
      <c r="C21" s="313"/>
      <c r="D21" s="126" t="s">
        <v>219</v>
      </c>
      <c r="E21" s="158" t="s">
        <v>262</v>
      </c>
      <c r="F21" s="98" t="s">
        <v>207</v>
      </c>
    </row>
    <row r="22" spans="2:6" ht="43.5">
      <c r="B22" s="1">
        <v>13</v>
      </c>
      <c r="C22" s="1" t="s">
        <v>180</v>
      </c>
      <c r="D22" s="77" t="s">
        <v>220</v>
      </c>
      <c r="E22" s="157" t="s">
        <v>263</v>
      </c>
      <c r="F22" s="1" t="s">
        <v>207</v>
      </c>
    </row>
    <row r="23" spans="2:6" ht="43.5">
      <c r="B23" s="1">
        <v>14</v>
      </c>
      <c r="C23" s="1" t="s">
        <v>180</v>
      </c>
      <c r="D23" s="77" t="s">
        <v>222</v>
      </c>
      <c r="E23" s="157" t="s">
        <v>264</v>
      </c>
      <c r="F23" s="1" t="s">
        <v>183</v>
      </c>
    </row>
    <row r="24" spans="2:6" ht="43.5">
      <c r="B24" s="1">
        <v>15</v>
      </c>
      <c r="C24" s="1" t="s">
        <v>180</v>
      </c>
      <c r="D24" s="77" t="s">
        <v>224</v>
      </c>
      <c r="E24" s="157" t="s">
        <v>265</v>
      </c>
      <c r="F24" s="1" t="s">
        <v>207</v>
      </c>
    </row>
    <row r="25" spans="2:6" ht="43.5">
      <c r="B25" s="1">
        <v>16</v>
      </c>
      <c r="C25" s="1" t="s">
        <v>191</v>
      </c>
      <c r="D25" s="77" t="s">
        <v>225</v>
      </c>
      <c r="E25" s="157" t="s">
        <v>266</v>
      </c>
      <c r="F25" s="1" t="s">
        <v>183</v>
      </c>
    </row>
    <row r="26" spans="2:6" ht="43.5">
      <c r="B26" s="1">
        <v>17</v>
      </c>
      <c r="C26" s="1" t="s">
        <v>191</v>
      </c>
      <c r="D26" s="77" t="s">
        <v>226</v>
      </c>
      <c r="E26" s="157" t="s">
        <v>267</v>
      </c>
      <c r="F26" s="1" t="s">
        <v>207</v>
      </c>
    </row>
    <row r="27" spans="2:6" ht="43.5">
      <c r="B27" s="1">
        <v>18</v>
      </c>
      <c r="C27" s="1" t="s">
        <v>180</v>
      </c>
      <c r="D27" s="77" t="s">
        <v>227</v>
      </c>
      <c r="E27" s="157" t="s">
        <v>268</v>
      </c>
      <c r="F27" s="1" t="s">
        <v>207</v>
      </c>
    </row>
    <row r="28" spans="2:6" ht="43.5">
      <c r="B28" s="1">
        <v>19</v>
      </c>
      <c r="C28" s="1" t="s">
        <v>180</v>
      </c>
      <c r="D28" s="77" t="s">
        <v>228</v>
      </c>
      <c r="E28" s="157" t="s">
        <v>269</v>
      </c>
      <c r="F28" s="1" t="s">
        <v>207</v>
      </c>
    </row>
    <row r="29" spans="2:6" ht="42" customHeight="1">
      <c r="B29" s="312">
        <v>20</v>
      </c>
      <c r="C29" s="312" t="s">
        <v>191</v>
      </c>
      <c r="D29" s="77" t="s">
        <v>270</v>
      </c>
      <c r="E29" s="157" t="s">
        <v>271</v>
      </c>
      <c r="F29" s="312" t="s">
        <v>207</v>
      </c>
    </row>
    <row r="30" spans="2:6" ht="42" customHeight="1">
      <c r="B30" s="316"/>
      <c r="C30" s="316"/>
      <c r="D30" s="77" t="s">
        <v>272</v>
      </c>
      <c r="E30" s="157" t="s">
        <v>273</v>
      </c>
      <c r="F30" s="316"/>
    </row>
    <row r="31" spans="2:6" ht="43.5">
      <c r="B31" s="1">
        <v>21</v>
      </c>
      <c r="C31" s="1" t="s">
        <v>180</v>
      </c>
      <c r="D31" s="77" t="s">
        <v>274</v>
      </c>
      <c r="E31" s="157" t="s">
        <v>275</v>
      </c>
      <c r="F31" s="1" t="s">
        <v>207</v>
      </c>
    </row>
    <row r="32" spans="2:6" ht="43.5">
      <c r="B32" s="1">
        <v>22</v>
      </c>
      <c r="C32" s="1" t="s">
        <v>191</v>
      </c>
      <c r="D32" s="126" t="s">
        <v>276</v>
      </c>
      <c r="E32" s="157" t="s">
        <v>277</v>
      </c>
      <c r="F32" s="1" t="s">
        <v>207</v>
      </c>
    </row>
    <row r="33" spans="2:6" ht="43.5">
      <c r="B33" s="1">
        <v>23</v>
      </c>
      <c r="C33" s="173" t="s">
        <v>180</v>
      </c>
      <c r="D33" s="175" t="s">
        <v>278</v>
      </c>
      <c r="E33" s="174" t="s">
        <v>279</v>
      </c>
      <c r="F33" s="1" t="s">
        <v>207</v>
      </c>
    </row>
    <row r="34" spans="2:6" ht="43.5">
      <c r="B34" s="1">
        <v>24</v>
      </c>
      <c r="C34" s="173" t="s">
        <v>180</v>
      </c>
      <c r="D34" s="180" t="s">
        <v>235</v>
      </c>
      <c r="E34" s="174" t="s">
        <v>280</v>
      </c>
      <c r="F34" s="1" t="s">
        <v>207</v>
      </c>
    </row>
    <row r="35" spans="2:6" ht="43.5">
      <c r="B35" s="1">
        <v>25</v>
      </c>
      <c r="C35" s="173" t="s">
        <v>191</v>
      </c>
      <c r="D35" s="126" t="s">
        <v>281</v>
      </c>
      <c r="E35" s="174" t="s">
        <v>282</v>
      </c>
      <c r="F35" s="1" t="s">
        <v>207</v>
      </c>
    </row>
    <row r="36" spans="2:6" ht="48.75" customHeight="1">
      <c r="B36" s="1">
        <v>26</v>
      </c>
      <c r="C36" s="173" t="s">
        <v>191</v>
      </c>
      <c r="D36" s="77" t="s">
        <v>283</v>
      </c>
      <c r="E36" s="174"/>
      <c r="F36" s="1" t="s">
        <v>207</v>
      </c>
    </row>
    <row r="37" spans="2:6" ht="43.5">
      <c r="B37" s="1">
        <v>27</v>
      </c>
      <c r="C37" s="173" t="s">
        <v>180</v>
      </c>
      <c r="D37" s="221" t="s">
        <v>240</v>
      </c>
      <c r="E37" s="174" t="s">
        <v>284</v>
      </c>
      <c r="F37" s="1" t="s">
        <v>207</v>
      </c>
    </row>
    <row r="38" spans="2:6" ht="43.5">
      <c r="B38" s="1">
        <v>28</v>
      </c>
      <c r="C38" s="173" t="s">
        <v>191</v>
      </c>
      <c r="D38" s="221" t="s">
        <v>242</v>
      </c>
      <c r="E38" s="174" t="s">
        <v>285</v>
      </c>
      <c r="F38" s="1" t="s">
        <v>207</v>
      </c>
    </row>
    <row r="39" spans="2:6" ht="43.5">
      <c r="B39" s="1">
        <v>29</v>
      </c>
      <c r="C39" s="173" t="s">
        <v>191</v>
      </c>
      <c r="D39" s="221" t="s">
        <v>286</v>
      </c>
      <c r="E39" s="174" t="s">
        <v>287</v>
      </c>
      <c r="F39" s="1" t="s">
        <v>207</v>
      </c>
    </row>
    <row r="40" spans="2:6" ht="29.25">
      <c r="B40" s="1">
        <v>30</v>
      </c>
      <c r="C40" s="173" t="s">
        <v>191</v>
      </c>
      <c r="D40" s="221" t="s">
        <v>245</v>
      </c>
      <c r="E40" s="174" t="s">
        <v>288</v>
      </c>
      <c r="F40" s="1" t="s">
        <v>207</v>
      </c>
    </row>
  </sheetData>
  <mergeCells count="13">
    <mergeCell ref="F29:F30"/>
    <mergeCell ref="B6:B9"/>
    <mergeCell ref="C6:C9"/>
    <mergeCell ref="B10:B11"/>
    <mergeCell ref="C10:C11"/>
    <mergeCell ref="B14:B15"/>
    <mergeCell ref="C14:C15"/>
    <mergeCell ref="B16:B17"/>
    <mergeCell ref="C16:C17"/>
    <mergeCell ref="B20:B21"/>
    <mergeCell ref="C20:C21"/>
    <mergeCell ref="B29:B30"/>
    <mergeCell ref="C29:C30"/>
  </mergeCells>
  <dataValidations count="2">
    <dataValidation type="list" allowBlank="1" showInputMessage="1" showErrorMessage="1" sqref="F3:F29 F31:F40" xr:uid="{F27933FA-CB24-47D6-939B-C3ECBA1D0C92}">
      <formula1>"Yes,No"</formula1>
    </dataValidation>
    <dataValidation type="list" allowBlank="1" showInputMessage="1" showErrorMessage="1" sqref="C3:C6 C10 C12:C14 C16 C18:C20 C22:C29 C31:C40" xr:uid="{F3F49AD2-06E1-498B-9A50-894E19E1F41E}">
      <formula1>"Event, Non-Event"</formula1>
    </dataValidation>
  </dataValidations>
  <hyperlinks>
    <hyperlink ref="E34" r:id="rId1" location="slide=id.p" xr:uid="{0F6C2B83-1F00-4BA9-B1D3-FBCA64CC00E6}"/>
    <hyperlink ref="E33" r:id="rId2" location="slide=id.g388a6696662_0_1" xr:uid="{B2920D42-0126-4B7A-BF76-9C599588A051}"/>
    <hyperlink ref="E32" r:id="rId3" location="slide=id.p" xr:uid="{9659AA1D-11AA-49DC-9957-A513C6848AEB}"/>
    <hyperlink ref="E3" r:id="rId4" location="slide=id.p" xr:uid="{EA2CADC5-7035-4C90-8A9B-59C5DCA704CA}"/>
    <hyperlink ref="E4" r:id="rId5" location="slide=id.p" xr:uid="{47A8821A-D80F-46EB-9FCC-9E6E9D5D7231}"/>
    <hyperlink ref="E5" r:id="rId6" location="slide=id.p" xr:uid="{1AE01BA0-36EA-4A69-B897-903C9E954DC8}"/>
    <hyperlink ref="E7" r:id="rId7" location="slide=id.p" xr:uid="{B5C32268-F84D-446E-BD6A-84EB249A0B68}"/>
    <hyperlink ref="E6" r:id="rId8" location="slide=id.p" xr:uid="{6EDD0A36-543D-45DD-BABE-B0B5A5B2B078}"/>
    <hyperlink ref="E8" r:id="rId9" location="slide=id.p" xr:uid="{70639D29-D8C2-4D85-90C4-329C075F4366}"/>
    <hyperlink ref="E9" r:id="rId10" location="slide=id.p" xr:uid="{67BF5683-8F09-43E6-A140-AC45F0A064BF}"/>
    <hyperlink ref="E10" r:id="rId11" location="slide=id.p" xr:uid="{B86E64D0-3F79-44FC-93B0-702BC1E120C7}"/>
    <hyperlink ref="E11" r:id="rId12" location="slide=id.p" xr:uid="{98C2BB68-7DD1-4380-86F6-732A918697D2}"/>
    <hyperlink ref="E12" r:id="rId13" location="slide=id.p" xr:uid="{245C91E7-EDA0-4279-AC90-F1EF239092F5}"/>
    <hyperlink ref="E13" r:id="rId14" location="slide=id.p" xr:uid="{34423024-D9BE-4066-86CE-2CD50F2BA422}"/>
    <hyperlink ref="E14" r:id="rId15" location="slide=id.p" xr:uid="{E7D68D13-0EF1-470A-B6D8-8E892EACE555}"/>
    <hyperlink ref="E15" r:id="rId16" location="slide=id.p" xr:uid="{0A56CCFA-75B1-4C93-A800-7F81599A15D9}"/>
    <hyperlink ref="E16" r:id="rId17" location="slide=id.g34edfff4cef_0_10" xr:uid="{7EAA4445-A776-4E11-B014-ECA480EAF92A}"/>
    <hyperlink ref="E17" r:id="rId18" location="slide=id.g34edfff4cef_0_10" xr:uid="{4DB795A1-61D2-429B-B6FA-7605934669A4}"/>
    <hyperlink ref="E18" r:id="rId19" location="slide=id.g354bf69e967_0_1" xr:uid="{3850323B-1343-425C-B418-0744F8A9D4B0}"/>
    <hyperlink ref="E19" r:id="rId20" location="slide=id.p" xr:uid="{D52477CD-2987-4110-8C95-31556D229A1B}"/>
    <hyperlink ref="E20" r:id="rId21" location="slide=id.p" xr:uid="{B1891FD7-CBF4-45AE-BFED-3F05B7C3E04C}"/>
    <hyperlink ref="E21" r:id="rId22" location="slide=id.p" xr:uid="{B4D97959-502B-4EB5-9542-8151C30C42C6}"/>
    <hyperlink ref="E23" r:id="rId23" location="slide=id.p" xr:uid="{C2932B61-C196-499B-AD19-981B9EFC071F}"/>
    <hyperlink ref="E24" r:id="rId24" location="slide=id.p" xr:uid="{6E737264-533C-4883-832F-B7EBED2B57B8}"/>
    <hyperlink ref="E25" r:id="rId25" location="slide=id.g3721408f654_0_5" xr:uid="{46337BC3-8AD0-4B31-8285-002F3EEE87B0}"/>
    <hyperlink ref="E26" r:id="rId26" location="slide=id.g373e21e48dc_0_0" xr:uid="{D4E820D5-401D-4C0C-BFF5-3DF45FC9E182}"/>
    <hyperlink ref="E27" r:id="rId27" location="slide=id.p" xr:uid="{11DA8318-96B9-4C16-9C50-2B14AFD4B55A}"/>
    <hyperlink ref="E28" r:id="rId28" location="slide=id.p" xr:uid="{486D55C6-69CE-47F2-9907-A0CF4B2F2AFE}"/>
    <hyperlink ref="E31" r:id="rId29" location="slide=id.p" xr:uid="{A06DE379-F6BD-4A3A-86BB-433CB872E3DA}"/>
    <hyperlink ref="E29" r:id="rId30" location="slide=id.p" xr:uid="{029C03C4-6342-4B78-BBA0-AF17BF4504C6}"/>
    <hyperlink ref="E30" r:id="rId31" location="slide=id.p" xr:uid="{2AE743CA-179F-455F-B5F0-CFD93E9EFD52}"/>
    <hyperlink ref="E35" r:id="rId32" location="slide=id.p" xr:uid="{E01CC4DE-420E-4725-A429-3A945CF5A414}"/>
    <hyperlink ref="E37" r:id="rId33" location="slide=id.p" xr:uid="{D9FFFD42-5AD3-46AD-895C-748A41B004F1}"/>
    <hyperlink ref="E38" r:id="rId34" location="slide=id.g3a0722e8fad_0_6" xr:uid="{412A852E-5340-4A4D-B450-9F0C4D3750D2}"/>
    <hyperlink ref="E39" r:id="rId35" location="slide=id.p" xr:uid="{9223E5A1-B9E2-43A6-A72F-47DEB265CD27}"/>
    <hyperlink ref="E22" r:id="rId36" location="slide=id.p1" xr:uid="{79E7EBEC-FA55-46BD-A57E-A20F2B48D2BA}"/>
    <hyperlink ref="E40" r:id="rId37" location="slide=id.p1" xr:uid="{7F9FC3EF-93E1-46CF-9F2B-A30E9F19114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41E4-D040-412F-A21E-15D9EBE25A08}">
  <dimension ref="B2:F38"/>
  <sheetViews>
    <sheetView workbookViewId="0">
      <pane ySplit="2" topLeftCell="A31" activePane="bottomLeft" state="frozen"/>
      <selection pane="bottomLeft" activeCell="D44" sqref="D44"/>
    </sheetView>
  </sheetViews>
  <sheetFormatPr defaultRowHeight="15"/>
  <cols>
    <col min="2" max="2" width="7.5703125" customWidth="1"/>
    <col min="3" max="3" width="12.85546875" customWidth="1"/>
    <col min="4" max="4" width="44.5703125" customWidth="1"/>
    <col min="5" max="5" width="55.5703125" customWidth="1"/>
    <col min="6" max="6" width="16.7109375" customWidth="1"/>
  </cols>
  <sheetData>
    <row r="2" spans="2:6" ht="27.75" customHeight="1">
      <c r="B2" s="95" t="s">
        <v>246</v>
      </c>
      <c r="C2" s="96" t="s">
        <v>173</v>
      </c>
      <c r="D2" s="96" t="s">
        <v>174</v>
      </c>
      <c r="E2" s="96" t="s">
        <v>289</v>
      </c>
      <c r="F2" s="96" t="s">
        <v>178</v>
      </c>
    </row>
    <row r="3" spans="2:6" ht="37.5" customHeight="1">
      <c r="B3" s="79">
        <v>1</v>
      </c>
      <c r="C3" s="79" t="s">
        <v>180</v>
      </c>
      <c r="D3" s="93" t="s">
        <v>181</v>
      </c>
      <c r="E3" s="161" t="s">
        <v>248</v>
      </c>
      <c r="F3" s="79" t="s">
        <v>183</v>
      </c>
    </row>
    <row r="4" spans="2:6" ht="36" customHeight="1">
      <c r="B4" s="1">
        <v>2</v>
      </c>
      <c r="C4" s="1" t="s">
        <v>191</v>
      </c>
      <c r="D4" s="41" t="s">
        <v>192</v>
      </c>
      <c r="E4" s="157" t="s">
        <v>290</v>
      </c>
      <c r="F4" s="1" t="s">
        <v>183</v>
      </c>
    </row>
    <row r="5" spans="2:6" ht="35.25" customHeight="1">
      <c r="B5" s="1">
        <v>3</v>
      </c>
      <c r="C5" s="1" t="s">
        <v>180</v>
      </c>
      <c r="D5" s="41" t="s">
        <v>194</v>
      </c>
      <c r="E5" s="157" t="s">
        <v>291</v>
      </c>
      <c r="F5" s="1" t="s">
        <v>183</v>
      </c>
    </row>
    <row r="6" spans="2:6" ht="33.75" customHeight="1">
      <c r="B6" s="288">
        <v>4</v>
      </c>
      <c r="C6" s="288" t="s">
        <v>191</v>
      </c>
      <c r="D6" s="14" t="s">
        <v>196</v>
      </c>
      <c r="E6" s="157" t="s">
        <v>292</v>
      </c>
      <c r="F6" s="1" t="s">
        <v>207</v>
      </c>
    </row>
    <row r="7" spans="2:6" ht="37.5" customHeight="1">
      <c r="B7" s="288"/>
      <c r="C7" s="288"/>
      <c r="D7" s="14" t="s">
        <v>198</v>
      </c>
      <c r="E7" s="157" t="s">
        <v>293</v>
      </c>
      <c r="F7" s="1" t="s">
        <v>207</v>
      </c>
    </row>
    <row r="8" spans="2:6" ht="33.75" customHeight="1">
      <c r="B8" s="288"/>
      <c r="C8" s="288"/>
      <c r="D8" s="14" t="s">
        <v>200</v>
      </c>
      <c r="E8" s="157" t="s">
        <v>294</v>
      </c>
      <c r="F8" s="1" t="s">
        <v>183</v>
      </c>
    </row>
    <row r="9" spans="2:6" ht="35.25" customHeight="1">
      <c r="B9" s="288"/>
      <c r="C9" s="288"/>
      <c r="D9" s="14" t="s">
        <v>202</v>
      </c>
      <c r="E9" s="157" t="s">
        <v>295</v>
      </c>
      <c r="F9" s="1" t="s">
        <v>207</v>
      </c>
    </row>
    <row r="10" spans="2:6" ht="36.75" customHeight="1">
      <c r="B10" s="288">
        <v>5</v>
      </c>
      <c r="C10" s="288" t="s">
        <v>191</v>
      </c>
      <c r="D10" s="14" t="s">
        <v>204</v>
      </c>
      <c r="E10" s="157" t="s">
        <v>296</v>
      </c>
      <c r="F10" s="1" t="s">
        <v>183</v>
      </c>
    </row>
    <row r="11" spans="2:6" ht="39" customHeight="1">
      <c r="B11" s="288"/>
      <c r="C11" s="288"/>
      <c r="D11" s="14" t="s">
        <v>206</v>
      </c>
      <c r="E11" s="157" t="s">
        <v>297</v>
      </c>
      <c r="F11" s="1" t="s">
        <v>183</v>
      </c>
    </row>
    <row r="12" spans="2:6" ht="44.25" customHeight="1">
      <c r="B12" s="1">
        <v>6</v>
      </c>
      <c r="C12" s="1" t="s">
        <v>191</v>
      </c>
      <c r="D12" s="41" t="s">
        <v>78</v>
      </c>
      <c r="E12" s="157" t="s">
        <v>298</v>
      </c>
      <c r="F12" s="1" t="s">
        <v>207</v>
      </c>
    </row>
    <row r="13" spans="2:6" ht="42" customHeight="1">
      <c r="B13" s="1">
        <v>7</v>
      </c>
      <c r="C13" s="1" t="s">
        <v>180</v>
      </c>
      <c r="D13" s="41" t="s">
        <v>95</v>
      </c>
      <c r="E13" s="157" t="s">
        <v>299</v>
      </c>
      <c r="F13" s="1" t="s">
        <v>207</v>
      </c>
    </row>
    <row r="14" spans="2:6" ht="43.5" customHeight="1">
      <c r="B14" s="312">
        <v>8</v>
      </c>
      <c r="C14" s="312" t="s">
        <v>191</v>
      </c>
      <c r="D14" s="76" t="s">
        <v>209</v>
      </c>
      <c r="E14" s="157" t="s">
        <v>300</v>
      </c>
      <c r="F14" s="1" t="s">
        <v>183</v>
      </c>
    </row>
    <row r="15" spans="2:6" ht="43.5" customHeight="1">
      <c r="B15" s="316"/>
      <c r="C15" s="316"/>
      <c r="D15" s="76" t="s">
        <v>211</v>
      </c>
      <c r="E15" s="157" t="s">
        <v>301</v>
      </c>
      <c r="F15" s="1" t="s">
        <v>183</v>
      </c>
    </row>
    <row r="16" spans="2:6" ht="47.25" customHeight="1">
      <c r="B16" s="312">
        <v>9</v>
      </c>
      <c r="C16" s="312" t="s">
        <v>191</v>
      </c>
      <c r="D16" s="77" t="s">
        <v>212</v>
      </c>
      <c r="E16" s="157" t="s">
        <v>302</v>
      </c>
      <c r="F16" s="1" t="s">
        <v>183</v>
      </c>
    </row>
    <row r="17" spans="2:6" ht="48" customHeight="1">
      <c r="B17" s="316"/>
      <c r="C17" s="316"/>
      <c r="D17" s="77" t="s">
        <v>214</v>
      </c>
      <c r="E17" s="157" t="s">
        <v>303</v>
      </c>
      <c r="F17" s="1" t="s">
        <v>183</v>
      </c>
    </row>
    <row r="18" spans="2:6" ht="41.25" customHeight="1">
      <c r="B18" s="1">
        <v>10</v>
      </c>
      <c r="C18" s="98" t="s">
        <v>191</v>
      </c>
      <c r="D18" s="77" t="s">
        <v>215</v>
      </c>
      <c r="E18" s="157" t="s">
        <v>304</v>
      </c>
      <c r="F18" s="1" t="s">
        <v>207</v>
      </c>
    </row>
    <row r="19" spans="2:6" ht="42.75" customHeight="1">
      <c r="B19" s="1">
        <v>11</v>
      </c>
      <c r="C19" s="98" t="s">
        <v>191</v>
      </c>
      <c r="D19" s="77" t="s">
        <v>216</v>
      </c>
      <c r="E19" s="157" t="s">
        <v>305</v>
      </c>
      <c r="F19" s="1" t="s">
        <v>207</v>
      </c>
    </row>
    <row r="20" spans="2:6" ht="48" customHeight="1">
      <c r="B20" s="312">
        <v>12</v>
      </c>
      <c r="C20" s="312" t="s">
        <v>191</v>
      </c>
      <c r="D20" s="77" t="s">
        <v>218</v>
      </c>
      <c r="E20" s="157" t="s">
        <v>262</v>
      </c>
      <c r="F20" s="1" t="s">
        <v>207</v>
      </c>
    </row>
    <row r="21" spans="2:6" ht="45.75" customHeight="1">
      <c r="B21" s="313"/>
      <c r="C21" s="313"/>
      <c r="D21" s="126" t="s">
        <v>219</v>
      </c>
      <c r="E21" s="158" t="s">
        <v>262</v>
      </c>
      <c r="F21" s="98" t="s">
        <v>207</v>
      </c>
    </row>
    <row r="22" spans="2:6" ht="45" customHeight="1">
      <c r="B22" s="1">
        <v>13</v>
      </c>
      <c r="C22" s="1" t="s">
        <v>180</v>
      </c>
      <c r="D22" s="77" t="s">
        <v>220</v>
      </c>
      <c r="E22" s="157" t="s">
        <v>306</v>
      </c>
      <c r="F22" s="1" t="s">
        <v>207</v>
      </c>
    </row>
    <row r="23" spans="2:6" ht="41.25" customHeight="1">
      <c r="B23" s="1">
        <v>14</v>
      </c>
      <c r="C23" s="1" t="s">
        <v>180</v>
      </c>
      <c r="D23" s="77" t="s">
        <v>222</v>
      </c>
      <c r="E23" s="157" t="s">
        <v>307</v>
      </c>
      <c r="F23" s="1" t="s">
        <v>183</v>
      </c>
    </row>
    <row r="24" spans="2:6" ht="45.75" customHeight="1">
      <c r="B24" s="1">
        <v>15</v>
      </c>
      <c r="C24" s="1" t="s">
        <v>180</v>
      </c>
      <c r="D24" s="77" t="s">
        <v>224</v>
      </c>
      <c r="E24" s="157" t="s">
        <v>308</v>
      </c>
      <c r="F24" s="1" t="s">
        <v>207</v>
      </c>
    </row>
    <row r="25" spans="2:6" ht="41.25" customHeight="1">
      <c r="B25" s="1">
        <v>16</v>
      </c>
      <c r="C25" s="1" t="s">
        <v>191</v>
      </c>
      <c r="D25" s="77" t="s">
        <v>225</v>
      </c>
      <c r="E25" s="157" t="s">
        <v>309</v>
      </c>
      <c r="F25" s="1" t="s">
        <v>183</v>
      </c>
    </row>
    <row r="26" spans="2:6" ht="39" customHeight="1">
      <c r="B26" s="1">
        <v>17</v>
      </c>
      <c r="C26" s="1" t="s">
        <v>191</v>
      </c>
      <c r="D26" s="77" t="s">
        <v>226</v>
      </c>
      <c r="E26" s="157" t="s">
        <v>310</v>
      </c>
      <c r="F26" s="1" t="s">
        <v>207</v>
      </c>
    </row>
    <row r="27" spans="2:6" ht="39.75" customHeight="1">
      <c r="B27" s="1">
        <v>18</v>
      </c>
      <c r="C27" s="1" t="s">
        <v>180</v>
      </c>
      <c r="D27" s="77" t="s">
        <v>227</v>
      </c>
      <c r="E27" s="157" t="s">
        <v>311</v>
      </c>
      <c r="F27" s="1" t="s">
        <v>207</v>
      </c>
    </row>
    <row r="28" spans="2:6" ht="39" customHeight="1">
      <c r="B28" s="1">
        <v>19</v>
      </c>
      <c r="C28" s="1" t="s">
        <v>180</v>
      </c>
      <c r="D28" s="77" t="s">
        <v>228</v>
      </c>
      <c r="E28" s="157" t="s">
        <v>312</v>
      </c>
      <c r="F28" s="1" t="s">
        <v>207</v>
      </c>
    </row>
    <row r="29" spans="2:6" ht="38.25" customHeight="1">
      <c r="B29" s="1">
        <v>20</v>
      </c>
      <c r="C29" s="1" t="s">
        <v>191</v>
      </c>
      <c r="D29" s="77" t="s">
        <v>313</v>
      </c>
      <c r="E29" s="157" t="s">
        <v>314</v>
      </c>
      <c r="F29" s="1" t="s">
        <v>207</v>
      </c>
    </row>
    <row r="30" spans="2:6" ht="38.25" customHeight="1">
      <c r="B30" s="1">
        <v>21</v>
      </c>
      <c r="C30" s="1" t="s">
        <v>180</v>
      </c>
      <c r="D30" s="77" t="s">
        <v>274</v>
      </c>
      <c r="E30" s="157" t="s">
        <v>315</v>
      </c>
      <c r="F30" s="1" t="s">
        <v>207</v>
      </c>
    </row>
    <row r="31" spans="2:6" ht="43.5">
      <c r="B31" s="1">
        <v>22</v>
      </c>
      <c r="C31" s="1" t="s">
        <v>191</v>
      </c>
      <c r="D31" s="126" t="s">
        <v>276</v>
      </c>
      <c r="E31" s="157" t="s">
        <v>316</v>
      </c>
      <c r="F31" s="1" t="s">
        <v>207</v>
      </c>
    </row>
    <row r="32" spans="2:6" ht="39.75" customHeight="1">
      <c r="B32" s="1">
        <v>23</v>
      </c>
      <c r="C32" s="173" t="s">
        <v>180</v>
      </c>
      <c r="D32" s="175" t="s">
        <v>278</v>
      </c>
      <c r="E32" s="174" t="s">
        <v>317</v>
      </c>
      <c r="F32" s="1" t="s">
        <v>207</v>
      </c>
    </row>
    <row r="33" spans="2:6" ht="43.5">
      <c r="B33" s="1">
        <v>24</v>
      </c>
      <c r="C33" s="173" t="s">
        <v>180</v>
      </c>
      <c r="D33" s="180" t="s">
        <v>235</v>
      </c>
      <c r="E33" s="182" t="s">
        <v>318</v>
      </c>
      <c r="F33" s="1" t="s">
        <v>207</v>
      </c>
    </row>
    <row r="34" spans="2:6" ht="43.5">
      <c r="B34" s="1">
        <v>25</v>
      </c>
      <c r="C34" s="173" t="s">
        <v>191</v>
      </c>
      <c r="D34" s="181" t="s">
        <v>281</v>
      </c>
      <c r="E34" s="157" t="s">
        <v>316</v>
      </c>
      <c r="F34" s="179" t="s">
        <v>207</v>
      </c>
    </row>
    <row r="35" spans="2:6" ht="41.25" customHeight="1">
      <c r="B35" s="1">
        <v>26</v>
      </c>
      <c r="C35" s="173" t="s">
        <v>191</v>
      </c>
      <c r="D35" s="181" t="s">
        <v>283</v>
      </c>
      <c r="E35" s="157" t="s">
        <v>319</v>
      </c>
      <c r="F35" s="179" t="s">
        <v>207</v>
      </c>
    </row>
    <row r="36" spans="2:6" ht="46.5" customHeight="1">
      <c r="B36" s="1">
        <v>27</v>
      </c>
      <c r="C36" s="173" t="s">
        <v>180</v>
      </c>
      <c r="D36" s="221" t="s">
        <v>240</v>
      </c>
      <c r="E36" s="157" t="s">
        <v>320</v>
      </c>
      <c r="F36" s="179" t="s">
        <v>207</v>
      </c>
    </row>
    <row r="37" spans="2:6" ht="45" customHeight="1">
      <c r="B37" s="1">
        <v>28</v>
      </c>
      <c r="C37" s="173" t="s">
        <v>191</v>
      </c>
      <c r="D37" s="221" t="s">
        <v>242</v>
      </c>
      <c r="E37" s="157" t="s">
        <v>321</v>
      </c>
      <c r="F37" s="179" t="s">
        <v>207</v>
      </c>
    </row>
    <row r="38" spans="2:6" ht="58.5" customHeight="1">
      <c r="B38" s="1">
        <v>29</v>
      </c>
      <c r="C38" s="173" t="s">
        <v>191</v>
      </c>
      <c r="D38" s="221" t="s">
        <v>322</v>
      </c>
      <c r="E38" s="157" t="s">
        <v>323</v>
      </c>
      <c r="F38" s="179" t="s">
        <v>207</v>
      </c>
    </row>
  </sheetData>
  <mergeCells count="10">
    <mergeCell ref="B16:B17"/>
    <mergeCell ref="C16:C17"/>
    <mergeCell ref="B20:B21"/>
    <mergeCell ref="C20:C21"/>
    <mergeCell ref="B6:B9"/>
    <mergeCell ref="C6:C9"/>
    <mergeCell ref="B10:B11"/>
    <mergeCell ref="C10:C11"/>
    <mergeCell ref="B14:B15"/>
    <mergeCell ref="C14:C15"/>
  </mergeCells>
  <dataValidations count="2">
    <dataValidation type="list" allowBlank="1" showInputMessage="1" showErrorMessage="1" sqref="C3:C6 C10 C12:C14 C16 C18:C20 C22:C38" xr:uid="{AB45341E-49DC-4E27-A418-463D2531ADF0}">
      <formula1>"Event, Non-Event"</formula1>
    </dataValidation>
    <dataValidation type="list" allowBlank="1" showInputMessage="1" showErrorMessage="1" sqref="F3:F38" xr:uid="{53B40FB3-4D40-447A-B73D-1834C6D94022}">
      <formula1>"Yes,No"</formula1>
    </dataValidation>
  </dataValidations>
  <hyperlinks>
    <hyperlink ref="E19" r:id="rId1" location="slide=id.p" xr:uid="{107FAD08-1874-4F0B-8666-EBA1AC850A80}"/>
    <hyperlink ref="E27" r:id="rId2" location="slide=id.p" xr:uid="{039A624A-6EC6-4A06-9707-F09516D3E098}"/>
    <hyperlink ref="E28" r:id="rId3" location="slide=id.p" xr:uid="{869841C4-8959-422E-B1B1-B80457EF2F99}"/>
    <hyperlink ref="E26" r:id="rId4" location="slide=id.p" xr:uid="{056D72EC-F2A8-425B-B4E9-A4F3326198DE}"/>
    <hyperlink ref="E25" r:id="rId5" location="slide=id.p" xr:uid="{8C1FA03A-8434-42C9-B161-39821251FE6A}"/>
    <hyperlink ref="E24" r:id="rId6" location="slide=id.p" xr:uid="{AB2A79AF-8975-426F-8E30-7681F87BBF7F}"/>
    <hyperlink ref="E23" r:id="rId7" location="slide=id.p" xr:uid="{48D4F9E3-ACE7-4D45-8ED7-7690FB3C0396}"/>
    <hyperlink ref="E18" r:id="rId8" location="slide=id.p" xr:uid="{FB325C00-0257-4891-88C5-BA1B73AF41A5}"/>
    <hyperlink ref="E8" r:id="rId9" location="slide=id.p" xr:uid="{ECC38952-BBC9-4D07-9B61-13AC9E7FBC1B}"/>
    <hyperlink ref="E12" r:id="rId10" location="slide=id.p" xr:uid="{2FB551C2-63B2-4D51-B869-FB3DF625D56B}"/>
    <hyperlink ref="E6" r:id="rId11" location="slide=id.p" xr:uid="{328B7548-FCAE-45BE-A52A-FA6E5203365C}"/>
    <hyperlink ref="E9" r:id="rId12" location="slide=id.p" xr:uid="{A85EFD4E-ED3B-4C4C-A50F-12DCE1378227}"/>
    <hyperlink ref="E7" r:id="rId13" location="slide=id.p" xr:uid="{6DE5A61A-87B8-425E-96D5-54CC0F81733A}"/>
    <hyperlink ref="E13" r:id="rId14" location="slide=id.p" xr:uid="{E42577A5-FB4F-4BD6-849B-7DACE8F18626}"/>
    <hyperlink ref="E22" r:id="rId15" location="slide=id.p" xr:uid="{64D8AF52-6181-4739-AE5B-9B36D7CB3BA1}"/>
    <hyperlink ref="E20" r:id="rId16" location="slide=id.p" xr:uid="{01ABE2D9-99EF-4E0B-B927-6FA8CCB2258C}"/>
    <hyperlink ref="E21" r:id="rId17" location="slide=id.p" xr:uid="{E91429CC-7D92-48B3-B3DB-765B2B884D70}"/>
    <hyperlink ref="E16" r:id="rId18" location="slide=id.p" xr:uid="{D2757962-CE80-4180-B594-C2AF7B1AD85D}"/>
    <hyperlink ref="E17" r:id="rId19" location="slide=id.p" xr:uid="{85EAEEA7-A242-4C51-99D8-57B6046A0DC1}"/>
    <hyperlink ref="E10" r:id="rId20" location="slide=id.p" xr:uid="{A34F994E-6469-45D4-AC13-9FF67B1653E5}"/>
    <hyperlink ref="E11" r:id="rId21" location="slide=id.p" xr:uid="{33DC842C-4393-452D-9268-5C1063320929}"/>
    <hyperlink ref="E5" r:id="rId22" location="slide=id.p" xr:uid="{915A1BEB-7710-44EB-B2B5-F47179E7A119}"/>
    <hyperlink ref="E4" r:id="rId23" location="slide=id.p" xr:uid="{0BEF24D1-0370-4236-9F36-56C431274CFD}"/>
    <hyperlink ref="E14" r:id="rId24" location="slide=id.p" xr:uid="{3482D226-2C42-4775-832B-804493616EE7}"/>
    <hyperlink ref="E15" r:id="rId25" location="slide=id.p" xr:uid="{88BBE422-3CD8-4646-A79D-92B8DA4C0E63}"/>
    <hyperlink ref="E3" r:id="rId26" location="slide=id.p" xr:uid="{62D91C15-3CD4-4CCD-9057-9E6312C451FB}"/>
    <hyperlink ref="E29" r:id="rId27" location="slide=id.p" xr:uid="{42170EE7-22C4-4830-97C3-9515CF9DAD61}"/>
    <hyperlink ref="E30" r:id="rId28" location="slide=id.p" xr:uid="{D7C6E86A-23CB-4E4E-B714-1199F5E031AF}"/>
    <hyperlink ref="E31" r:id="rId29" location="slide=id.p" xr:uid="{4E68CF7F-C6D5-4D2D-9A09-F0BC1D20DA21}"/>
    <hyperlink ref="E32" r:id="rId30" location="slide=id.p" xr:uid="{EDFCE411-4427-4109-A0B9-84B4829931CA}"/>
    <hyperlink ref="E33" r:id="rId31" location="slide=id.g37f1917e506_0_0" xr:uid="{AB7EE7BC-2345-4F95-8043-ECC87BF4CC71}"/>
    <hyperlink ref="E34" r:id="rId32" location="slide=id.p" xr:uid="{F1BB342E-4AD2-44FC-BCC8-722B9AE76794}"/>
    <hyperlink ref="E35" r:id="rId33" location="slide=id.p" xr:uid="{CF3B3DB9-883B-4835-9CEA-D02CF6196149}"/>
    <hyperlink ref="E36" r:id="rId34" location="slide=id.p" xr:uid="{66EDE6E3-EB18-4166-9AB8-80AD033EEBFF}"/>
    <hyperlink ref="E37" r:id="rId35" location="slide=id.g398a63d0b23_0_0" xr:uid="{F241EC1A-3878-4192-839D-42AEA2B04F10}"/>
    <hyperlink ref="E38" r:id="rId36" xr:uid="{C7A42552-5D11-4200-B8C4-D3223D60FF4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F9838-9E0F-405B-99A3-F4191D027912}">
  <dimension ref="B2:E39"/>
  <sheetViews>
    <sheetView workbookViewId="0">
      <pane ySplit="2" topLeftCell="A24" activePane="bottomLeft" state="frozen"/>
      <selection pane="bottomLeft" activeCell="D44" sqref="D44"/>
    </sheetView>
  </sheetViews>
  <sheetFormatPr defaultRowHeight="15"/>
  <cols>
    <col min="2" max="2" width="7.5703125" bestFit="1" customWidth="1"/>
    <col min="3" max="3" width="12.140625" bestFit="1" customWidth="1"/>
    <col min="4" max="4" width="56.5703125" bestFit="1" customWidth="1"/>
    <col min="5" max="5" width="161.7109375" customWidth="1"/>
  </cols>
  <sheetData>
    <row r="2" spans="2:5" ht="15.75">
      <c r="B2" s="95" t="s">
        <v>246</v>
      </c>
      <c r="C2" s="96" t="s">
        <v>173</v>
      </c>
      <c r="D2" s="96" t="s">
        <v>174</v>
      </c>
      <c r="E2" s="245" t="s">
        <v>289</v>
      </c>
    </row>
    <row r="3" spans="2:5">
      <c r="B3" s="79">
        <v>1</v>
      </c>
      <c r="C3" s="79" t="s">
        <v>180</v>
      </c>
      <c r="D3" s="237" t="s">
        <v>181</v>
      </c>
      <c r="E3" s="234" t="s">
        <v>324</v>
      </c>
    </row>
    <row r="4" spans="2:5">
      <c r="B4" s="1">
        <v>2</v>
      </c>
      <c r="C4" s="1" t="s">
        <v>191</v>
      </c>
      <c r="D4" s="238" t="s">
        <v>192</v>
      </c>
      <c r="E4" s="234" t="s">
        <v>325</v>
      </c>
    </row>
    <row r="5" spans="2:5">
      <c r="B5" s="1">
        <v>3</v>
      </c>
      <c r="C5" s="1" t="s">
        <v>180</v>
      </c>
      <c r="D5" s="238" t="s">
        <v>194</v>
      </c>
      <c r="E5" s="234" t="s">
        <v>326</v>
      </c>
    </row>
    <row r="6" spans="2:5">
      <c r="B6" s="288">
        <v>4</v>
      </c>
      <c r="C6" s="288" t="s">
        <v>191</v>
      </c>
      <c r="D6" s="239" t="s">
        <v>196</v>
      </c>
      <c r="E6" s="234" t="s">
        <v>327</v>
      </c>
    </row>
    <row r="7" spans="2:5">
      <c r="B7" s="288"/>
      <c r="C7" s="288"/>
      <c r="D7" s="239" t="s">
        <v>198</v>
      </c>
      <c r="E7" s="246" t="s">
        <v>328</v>
      </c>
    </row>
    <row r="8" spans="2:5">
      <c r="B8" s="288"/>
      <c r="C8" s="288"/>
      <c r="D8" s="239" t="s">
        <v>200</v>
      </c>
      <c r="E8" s="234" t="s">
        <v>329</v>
      </c>
    </row>
    <row r="9" spans="2:5">
      <c r="B9" s="288"/>
      <c r="C9" s="288"/>
      <c r="D9" s="239" t="s">
        <v>202</v>
      </c>
      <c r="E9" s="247" t="s">
        <v>330</v>
      </c>
    </row>
    <row r="10" spans="2:5">
      <c r="B10" s="288">
        <v>5</v>
      </c>
      <c r="C10" s="288" t="s">
        <v>191</v>
      </c>
      <c r="D10" s="239" t="s">
        <v>204</v>
      </c>
      <c r="E10" s="234" t="s">
        <v>331</v>
      </c>
    </row>
    <row r="11" spans="2:5">
      <c r="B11" s="288"/>
      <c r="C11" s="288"/>
      <c r="D11" s="239" t="s">
        <v>206</v>
      </c>
      <c r="E11" s="234" t="s">
        <v>332</v>
      </c>
    </row>
    <row r="12" spans="2:5">
      <c r="B12" s="1">
        <v>6</v>
      </c>
      <c r="C12" s="1" t="s">
        <v>191</v>
      </c>
      <c r="D12" s="238" t="s">
        <v>78</v>
      </c>
      <c r="E12" s="234" t="s">
        <v>333</v>
      </c>
    </row>
    <row r="13" spans="2:5">
      <c r="B13" s="1">
        <v>7</v>
      </c>
      <c r="C13" s="1" t="s">
        <v>180</v>
      </c>
      <c r="D13" s="238" t="s">
        <v>95</v>
      </c>
      <c r="E13" s="234" t="s">
        <v>334</v>
      </c>
    </row>
    <row r="14" spans="2:5" ht="15.75">
      <c r="B14" s="312">
        <v>8</v>
      </c>
      <c r="C14" s="312" t="s">
        <v>191</v>
      </c>
      <c r="D14" s="240" t="s">
        <v>209</v>
      </c>
      <c r="E14" s="234" t="s">
        <v>335</v>
      </c>
    </row>
    <row r="15" spans="2:5" ht="15.75">
      <c r="B15" s="316"/>
      <c r="C15" s="316"/>
      <c r="D15" s="240" t="s">
        <v>211</v>
      </c>
      <c r="E15" s="234" t="s">
        <v>336</v>
      </c>
    </row>
    <row r="16" spans="2:5" ht="15.75">
      <c r="B16" s="312">
        <v>9</v>
      </c>
      <c r="C16" s="312" t="s">
        <v>191</v>
      </c>
      <c r="D16" s="224" t="s">
        <v>212</v>
      </c>
      <c r="E16" s="234" t="s">
        <v>337</v>
      </c>
    </row>
    <row r="17" spans="2:5" ht="15.75">
      <c r="B17" s="316"/>
      <c r="C17" s="316"/>
      <c r="D17" s="224" t="s">
        <v>214</v>
      </c>
      <c r="E17" s="234" t="s">
        <v>338</v>
      </c>
    </row>
    <row r="18" spans="2:5" ht="15.75">
      <c r="B18" s="1">
        <v>10</v>
      </c>
      <c r="C18" s="98" t="s">
        <v>191</v>
      </c>
      <c r="D18" s="224" t="s">
        <v>215</v>
      </c>
      <c r="E18" s="234" t="s">
        <v>339</v>
      </c>
    </row>
    <row r="19" spans="2:5" ht="15.75">
      <c r="B19" s="1">
        <v>11</v>
      </c>
      <c r="C19" s="98" t="s">
        <v>191</v>
      </c>
      <c r="D19" s="224" t="s">
        <v>216</v>
      </c>
      <c r="E19" s="234" t="s">
        <v>340</v>
      </c>
    </row>
    <row r="20" spans="2:5" ht="15.75">
      <c r="B20" s="312">
        <v>12</v>
      </c>
      <c r="C20" s="312" t="s">
        <v>191</v>
      </c>
      <c r="D20" s="224" t="s">
        <v>218</v>
      </c>
      <c r="E20" s="234" t="s">
        <v>341</v>
      </c>
    </row>
    <row r="21" spans="2:5" ht="15.75">
      <c r="B21" s="313"/>
      <c r="C21" s="313"/>
      <c r="D21" s="241" t="s">
        <v>219</v>
      </c>
      <c r="E21" s="234" t="s">
        <v>341</v>
      </c>
    </row>
    <row r="22" spans="2:5" ht="15.75">
      <c r="B22" s="1">
        <v>13</v>
      </c>
      <c r="C22" s="1" t="s">
        <v>180</v>
      </c>
      <c r="D22" s="224" t="s">
        <v>220</v>
      </c>
      <c r="E22" s="234" t="s">
        <v>342</v>
      </c>
    </row>
    <row r="23" spans="2:5" ht="15.75">
      <c r="B23" s="1">
        <v>14</v>
      </c>
      <c r="C23" s="1" t="s">
        <v>180</v>
      </c>
      <c r="D23" s="224" t="s">
        <v>222</v>
      </c>
      <c r="E23" s="234" t="s">
        <v>343</v>
      </c>
    </row>
    <row r="24" spans="2:5" ht="15.75">
      <c r="B24" s="1">
        <v>15</v>
      </c>
      <c r="C24" s="1" t="s">
        <v>180</v>
      </c>
      <c r="D24" s="224" t="s">
        <v>224</v>
      </c>
      <c r="E24" s="234" t="s">
        <v>344</v>
      </c>
    </row>
    <row r="25" spans="2:5" ht="15.75">
      <c r="B25" s="1">
        <v>16</v>
      </c>
      <c r="C25" s="1" t="s">
        <v>191</v>
      </c>
      <c r="D25" s="224" t="s">
        <v>225</v>
      </c>
      <c r="E25" s="234" t="s">
        <v>345</v>
      </c>
    </row>
    <row r="26" spans="2:5" ht="15.75">
      <c r="B26" s="1">
        <v>17</v>
      </c>
      <c r="C26" s="1" t="s">
        <v>191</v>
      </c>
      <c r="D26" s="224" t="s">
        <v>226</v>
      </c>
      <c r="E26" s="234" t="s">
        <v>346</v>
      </c>
    </row>
    <row r="27" spans="2:5" ht="15.75">
      <c r="B27" s="1">
        <v>18</v>
      </c>
      <c r="C27" s="1" t="s">
        <v>180</v>
      </c>
      <c r="D27" s="224" t="s">
        <v>227</v>
      </c>
      <c r="E27" s="234" t="s">
        <v>347</v>
      </c>
    </row>
    <row r="28" spans="2:5" ht="15.75">
      <c r="B28" s="1">
        <v>19</v>
      </c>
      <c r="C28" s="1" t="s">
        <v>180</v>
      </c>
      <c r="D28" s="224" t="s">
        <v>228</v>
      </c>
      <c r="E28" s="234" t="s">
        <v>348</v>
      </c>
    </row>
    <row r="29" spans="2:5" ht="15.75">
      <c r="B29" s="1">
        <v>20</v>
      </c>
      <c r="C29" s="1" t="s">
        <v>191</v>
      </c>
      <c r="D29" s="224" t="s">
        <v>313</v>
      </c>
      <c r="E29" s="234" t="s">
        <v>349</v>
      </c>
    </row>
    <row r="30" spans="2:5" ht="15.75">
      <c r="B30" s="1">
        <v>21</v>
      </c>
      <c r="C30" s="1" t="s">
        <v>180</v>
      </c>
      <c r="D30" s="224" t="s">
        <v>274</v>
      </c>
      <c r="E30" s="234" t="s">
        <v>350</v>
      </c>
    </row>
    <row r="31" spans="2:5" ht="15.75">
      <c r="B31" s="1">
        <v>22</v>
      </c>
      <c r="C31" s="1" t="s">
        <v>191</v>
      </c>
      <c r="D31" s="241" t="s">
        <v>276</v>
      </c>
      <c r="E31" s="234" t="s">
        <v>351</v>
      </c>
    </row>
    <row r="32" spans="2:5" ht="20.25" customHeight="1">
      <c r="B32" s="1">
        <v>23</v>
      </c>
      <c r="C32" s="173" t="s">
        <v>180</v>
      </c>
      <c r="D32" s="242" t="s">
        <v>278</v>
      </c>
      <c r="E32" s="234" t="s">
        <v>352</v>
      </c>
    </row>
    <row r="33" spans="2:5" ht="15.75">
      <c r="B33" s="1">
        <v>24</v>
      </c>
      <c r="C33" s="173" t="s">
        <v>180</v>
      </c>
      <c r="D33" s="243" t="s">
        <v>235</v>
      </c>
      <c r="E33" s="234" t="s">
        <v>353</v>
      </c>
    </row>
    <row r="34" spans="2:5" ht="15.75">
      <c r="B34" s="1">
        <v>25</v>
      </c>
      <c r="C34" s="173" t="s">
        <v>191</v>
      </c>
      <c r="D34" s="224" t="s">
        <v>281</v>
      </c>
      <c r="E34" s="246" t="s">
        <v>354</v>
      </c>
    </row>
    <row r="35" spans="2:5" ht="15.75">
      <c r="B35" s="1">
        <v>26</v>
      </c>
      <c r="C35" s="173" t="s">
        <v>191</v>
      </c>
      <c r="D35" s="224" t="s">
        <v>283</v>
      </c>
      <c r="E35" s="234" t="s">
        <v>355</v>
      </c>
    </row>
    <row r="36" spans="2:5" ht="15.75">
      <c r="B36" s="1">
        <v>27</v>
      </c>
      <c r="C36" s="173" t="s">
        <v>180</v>
      </c>
      <c r="D36" s="244" t="s">
        <v>240</v>
      </c>
      <c r="E36" s="247" t="s">
        <v>356</v>
      </c>
    </row>
    <row r="37" spans="2:5" ht="15.75">
      <c r="B37" s="1">
        <v>28</v>
      </c>
      <c r="C37" s="173" t="s">
        <v>191</v>
      </c>
      <c r="D37" s="244" t="s">
        <v>242</v>
      </c>
      <c r="E37" s="234" t="s">
        <v>357</v>
      </c>
    </row>
    <row r="38" spans="2:5" ht="15.75">
      <c r="B38" s="1">
        <v>29</v>
      </c>
      <c r="C38" s="173" t="s">
        <v>191</v>
      </c>
      <c r="D38" s="244" t="s">
        <v>322</v>
      </c>
      <c r="E38" s="223" t="s">
        <v>358</v>
      </c>
    </row>
    <row r="39" spans="2:5" ht="15.75">
      <c r="B39" s="1">
        <v>30</v>
      </c>
      <c r="C39" s="173" t="s">
        <v>191</v>
      </c>
      <c r="D39" s="244" t="s">
        <v>245</v>
      </c>
      <c r="E39" s="223" t="s">
        <v>359</v>
      </c>
    </row>
  </sheetData>
  <mergeCells count="10">
    <mergeCell ref="B16:B17"/>
    <mergeCell ref="C16:C17"/>
    <mergeCell ref="B20:B21"/>
    <mergeCell ref="C20:C21"/>
    <mergeCell ref="B6:B9"/>
    <mergeCell ref="C6:C9"/>
    <mergeCell ref="B10:B11"/>
    <mergeCell ref="C10:C11"/>
    <mergeCell ref="B14:B15"/>
    <mergeCell ref="C14:C15"/>
  </mergeCells>
  <dataValidations count="1">
    <dataValidation type="list" allowBlank="1" showInputMessage="1" showErrorMessage="1" sqref="C3:C6 C10 C12:C14 C16 C18:C20 C22:C39" xr:uid="{19911C18-98A7-4921-930A-743CC9C2DED0}">
      <formula1>"Event, Non-Event"</formula1>
    </dataValidation>
  </dataValidations>
  <hyperlinks>
    <hyperlink ref="E38" r:id="rId1" xr:uid="{D045A0D1-83FD-4B3C-BEA2-77954459F50A}"/>
    <hyperlink ref="E3" r:id="rId2" location="slide=id.p" xr:uid="{BE87305A-7EDE-4102-925B-5F5C69B54188}"/>
    <hyperlink ref="E4" r:id="rId3" location="slide=id.p" xr:uid="{FB819724-8B4D-4F25-9503-68B63FF581E5}"/>
    <hyperlink ref="E5" r:id="rId4" location="slide=id.p" xr:uid="{9D336702-AA88-4BA2-9314-5496DD77A9D1}"/>
    <hyperlink ref="E6" r:id="rId5" location="slide=id.p" xr:uid="{388EF5C2-7541-41CE-9CB2-679054A82CAD}"/>
    <hyperlink ref="E7" r:id="rId6" location="slide=id.p" xr:uid="{C5A9050C-1252-4348-85C5-E3595D0529C5}"/>
    <hyperlink ref="E8" r:id="rId7" xr:uid="{C56C5A83-CB5F-4A02-8CDA-E6EF3D689B09}"/>
    <hyperlink ref="E9" r:id="rId8" location="slide=id.p" xr:uid="{39A55A7D-DE72-48FF-9565-06FB0E78EC75}"/>
    <hyperlink ref="E10" r:id="rId9" location="slide=id.p" xr:uid="{6B2E92F0-D189-4B87-A590-69393284E2D1}"/>
    <hyperlink ref="E11" r:id="rId10" location="slide=id.p" xr:uid="{B0A47957-3010-4855-914E-95920CE44389}"/>
    <hyperlink ref="E12" r:id="rId11" location="slide=id.p" xr:uid="{9B057986-B1D4-45EE-98A8-43DE9A9654EB}"/>
    <hyperlink ref="E13" r:id="rId12" location="slide=id.p" xr:uid="{27AC1716-2E1D-4FB7-8C20-11B0F73F2C28}"/>
    <hyperlink ref="E14" r:id="rId13" location="slide=id.p" xr:uid="{00DB8EC1-0BF6-4D2E-94F2-838EFB0DF79B}"/>
    <hyperlink ref="E15" r:id="rId14" location="slide=id.p" xr:uid="{AD77025E-9EEF-4B09-87DB-456709602056}"/>
    <hyperlink ref="E16" r:id="rId15" location="slide=id.p" xr:uid="{2ECEB020-EC01-4F8B-BDD8-AA9613BE3132}"/>
    <hyperlink ref="E17" r:id="rId16" location="slide=id.p" xr:uid="{9013BD0D-F1D4-4844-9B23-BD309D184915}"/>
    <hyperlink ref="E18" r:id="rId17" location="slide=id.p" xr:uid="{1EBBF8B0-8B80-4D4E-9C62-1020C1994A32}"/>
    <hyperlink ref="E19" r:id="rId18" location="slide=id.p" xr:uid="{06754AE7-69FD-4C69-919B-9134E59FA85B}"/>
    <hyperlink ref="E20" r:id="rId19" location="slide=id.p" xr:uid="{A2A39B17-7F55-4CDF-B489-D07D8966512E}"/>
    <hyperlink ref="E21" r:id="rId20" location="slide=id.p" xr:uid="{EDE9A130-3AB0-4159-88E0-878C78AF9E1A}"/>
    <hyperlink ref="E22" r:id="rId21" location="slide=id.p" xr:uid="{3C73AC84-D302-4C93-87F6-E93A23B8A6B1}"/>
    <hyperlink ref="E23" r:id="rId22" xr:uid="{F6CFBEE6-A212-4BE3-9DFF-18848E160FB4}"/>
    <hyperlink ref="E24" r:id="rId23" xr:uid="{95430890-3339-4736-ADDE-A86C593221C6}"/>
    <hyperlink ref="E25" r:id="rId24" xr:uid="{069C3535-5EA5-43CA-A1A0-31CC5209A4AA}"/>
    <hyperlink ref="E26" r:id="rId25" xr:uid="{3314FA0D-9B4E-458D-A565-893B84ED585E}"/>
    <hyperlink ref="E27" r:id="rId26" xr:uid="{383AA634-CCF5-45FE-B198-D0D748E88ABD}"/>
    <hyperlink ref="E28" r:id="rId27" xr:uid="{1E31947A-DF14-4961-9D67-D2D5AF0F444E}"/>
    <hyperlink ref="E29" r:id="rId28" xr:uid="{7A344530-545F-4C59-85BD-6D1CE0F3F35A}"/>
    <hyperlink ref="E30" r:id="rId29" location="slide=id.p" xr:uid="{B833BDC4-F5E1-4923-BF27-1C1F3D4B9A80}"/>
    <hyperlink ref="E31" r:id="rId30" xr:uid="{3762A460-DE1C-4CCA-98D7-D7EF6227CA79}"/>
    <hyperlink ref="E32" r:id="rId31" location="slide=id.p" xr:uid="{EC7CD28C-BC3A-474C-8655-EAA1CFDFE06E}"/>
    <hyperlink ref="E33" r:id="rId32" xr:uid="{48A1F3B7-56B4-4816-B63E-0744E27BC7B8}"/>
    <hyperlink ref="E34" r:id="rId33" xr:uid="{E247B605-EDDF-48CD-B36B-EA94D25A9428}"/>
    <hyperlink ref="E35" r:id="rId34" xr:uid="{8559011C-F39B-481E-82B5-C7FF75A56CF8}"/>
    <hyperlink ref="E36" r:id="rId35" xr:uid="{47E92B24-36B7-40A9-A56F-27720185923D}"/>
    <hyperlink ref="E37" r:id="rId36" xr:uid="{8028ABDC-8AAE-4D0C-9272-A258D05CCF6A}"/>
    <hyperlink ref="E39" r:id="rId37" xr:uid="{03961487-52D3-46BF-AD48-B2B219AA3B6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7913E-9F1E-40AD-95B3-241E95D8E6B6}">
  <dimension ref="B2:AMK8"/>
  <sheetViews>
    <sheetView tabSelected="1" workbookViewId="0">
      <selection activeCell="A3" sqref="A3"/>
    </sheetView>
  </sheetViews>
  <sheetFormatPr defaultRowHeight="15"/>
  <cols>
    <col min="2" max="2" width="9.7109375" customWidth="1"/>
    <col min="3" max="3" width="15.5703125" bestFit="1" customWidth="1"/>
    <col min="4" max="4" width="15.140625" bestFit="1" customWidth="1"/>
    <col min="5" max="5" width="21.7109375" bestFit="1" customWidth="1"/>
    <col min="6" max="6" width="43.7109375" customWidth="1"/>
    <col min="7" max="7" width="16.140625" bestFit="1" customWidth="1"/>
    <col min="8" max="8" width="12.7109375" bestFit="1" customWidth="1"/>
    <col min="9" max="9" width="10.85546875" bestFit="1" customWidth="1"/>
    <col min="10" max="10" width="56.140625" customWidth="1"/>
    <col min="11" max="11" width="54" customWidth="1"/>
    <col min="12" max="12" width="17.85546875" bestFit="1" customWidth="1"/>
    <col min="13" max="13" width="48.140625" bestFit="1" customWidth="1"/>
    <col min="14" max="14" width="16.42578125" bestFit="1" customWidth="1"/>
    <col min="15" max="15" width="10.140625" bestFit="1" customWidth="1"/>
    <col min="16" max="16" width="8.28515625" bestFit="1" customWidth="1"/>
    <col min="17" max="17" width="10.140625" bestFit="1" customWidth="1"/>
    <col min="18" max="18" width="8.28515625" bestFit="1" customWidth="1"/>
    <col min="19" max="19" width="11.42578125" bestFit="1" customWidth="1"/>
    <col min="20" max="20" width="29.28515625" customWidth="1"/>
    <col min="21" max="21" width="11.42578125" customWidth="1"/>
  </cols>
  <sheetData>
    <row r="2" spans="2:1025" ht="66" customHeight="1">
      <c r="B2" s="207" t="s">
        <v>360</v>
      </c>
      <c r="C2" s="220" t="s">
        <v>361</v>
      </c>
      <c r="D2" s="210" t="s">
        <v>362</v>
      </c>
      <c r="E2" s="208" t="s">
        <v>363</v>
      </c>
      <c r="F2" s="207" t="s">
        <v>364</v>
      </c>
      <c r="G2" s="208" t="s">
        <v>365</v>
      </c>
      <c r="H2" s="208" t="s">
        <v>366</v>
      </c>
      <c r="I2" s="207" t="s">
        <v>367</v>
      </c>
      <c r="J2" s="208" t="s">
        <v>368</v>
      </c>
      <c r="K2" s="208" t="s">
        <v>369</v>
      </c>
      <c r="L2" s="208" t="s">
        <v>370</v>
      </c>
      <c r="M2" s="208" t="s">
        <v>371</v>
      </c>
      <c r="N2" s="208" t="s">
        <v>372</v>
      </c>
      <c r="O2" s="207" t="s">
        <v>373</v>
      </c>
      <c r="P2" s="207" t="s">
        <v>374</v>
      </c>
      <c r="Q2" s="207" t="s">
        <v>373</v>
      </c>
      <c r="R2" s="207" t="s">
        <v>374</v>
      </c>
      <c r="S2" s="208" t="s">
        <v>375</v>
      </c>
      <c r="T2" s="207" t="s">
        <v>376</v>
      </c>
      <c r="U2" s="207" t="s">
        <v>377</v>
      </c>
      <c r="V2" s="209"/>
      <c r="W2" s="209"/>
      <c r="X2" s="209"/>
      <c r="Y2" s="209"/>
      <c r="Z2" s="209"/>
      <c r="AA2" s="209"/>
      <c r="AB2" s="209"/>
      <c r="AC2" s="209"/>
      <c r="AD2" s="209"/>
      <c r="AE2" s="209"/>
      <c r="AF2" s="209"/>
      <c r="AG2" s="209"/>
      <c r="AH2" s="209"/>
      <c r="AI2" s="209"/>
      <c r="AJ2" s="209"/>
      <c r="AK2" s="209"/>
      <c r="AL2" s="209"/>
      <c r="AM2" s="209"/>
      <c r="AN2" s="209"/>
      <c r="AO2" s="209"/>
      <c r="AP2" s="209"/>
      <c r="AQ2" s="209"/>
      <c r="AR2" s="209"/>
      <c r="AS2" s="209"/>
      <c r="AT2" s="209"/>
      <c r="AU2" s="209"/>
      <c r="AV2" s="209"/>
      <c r="AW2" s="209"/>
      <c r="AX2" s="209"/>
      <c r="AY2" s="209"/>
      <c r="AZ2" s="209"/>
      <c r="BA2" s="209"/>
      <c r="BB2" s="209"/>
      <c r="BC2" s="209"/>
      <c r="BD2" s="209"/>
      <c r="BE2" s="209"/>
      <c r="BF2" s="209"/>
      <c r="BG2" s="209"/>
      <c r="BH2" s="209"/>
      <c r="BI2" s="209"/>
      <c r="BJ2" s="209"/>
      <c r="BK2" s="209"/>
      <c r="BL2" s="209"/>
      <c r="BM2" s="209"/>
      <c r="BN2" s="209"/>
      <c r="BO2" s="209"/>
      <c r="BP2" s="209"/>
      <c r="BQ2" s="209"/>
      <c r="BR2" s="209"/>
      <c r="BS2" s="209"/>
      <c r="BT2" s="209"/>
      <c r="BU2" s="209"/>
      <c r="BV2" s="209"/>
      <c r="BW2" s="209"/>
      <c r="BX2" s="209"/>
      <c r="BY2" s="209"/>
      <c r="BZ2" s="209"/>
      <c r="CA2" s="209"/>
      <c r="CB2" s="209"/>
      <c r="CC2" s="209"/>
      <c r="CD2" s="209"/>
      <c r="CE2" s="209"/>
      <c r="CF2" s="209"/>
      <c r="CG2" s="209"/>
      <c r="CH2" s="209"/>
      <c r="CI2" s="209"/>
      <c r="CJ2" s="209"/>
      <c r="CK2" s="209"/>
      <c r="CL2" s="209"/>
      <c r="CM2" s="209"/>
      <c r="CN2" s="209"/>
      <c r="CO2" s="209"/>
      <c r="CP2" s="209"/>
      <c r="CQ2" s="209"/>
      <c r="CR2" s="209"/>
      <c r="CS2" s="209"/>
      <c r="CT2" s="209"/>
      <c r="CU2" s="209"/>
      <c r="CV2" s="209"/>
      <c r="CW2" s="209"/>
      <c r="CX2" s="209"/>
      <c r="CY2" s="209"/>
      <c r="CZ2" s="209"/>
      <c r="DA2" s="209"/>
      <c r="DB2" s="209"/>
      <c r="DC2" s="209"/>
      <c r="DD2" s="209"/>
      <c r="DE2" s="209"/>
      <c r="DF2" s="209"/>
      <c r="DG2" s="209"/>
      <c r="DH2" s="209"/>
      <c r="DI2" s="209"/>
      <c r="DJ2" s="209"/>
      <c r="DK2" s="209"/>
      <c r="DL2" s="209"/>
      <c r="DM2" s="209"/>
      <c r="DN2" s="209"/>
      <c r="DO2" s="209"/>
      <c r="DP2" s="209"/>
      <c r="DQ2" s="209"/>
      <c r="DR2" s="209"/>
      <c r="DS2" s="209"/>
      <c r="DT2" s="209"/>
      <c r="DU2" s="209"/>
      <c r="DV2" s="209"/>
      <c r="DW2" s="209"/>
      <c r="DX2" s="209"/>
      <c r="DY2" s="209"/>
      <c r="DZ2" s="209"/>
      <c r="EA2" s="209"/>
      <c r="EB2" s="209"/>
      <c r="EC2" s="209"/>
      <c r="ED2" s="209"/>
      <c r="EE2" s="209"/>
      <c r="EF2" s="209"/>
      <c r="EG2" s="209"/>
      <c r="EH2" s="209"/>
      <c r="EI2" s="209"/>
      <c r="EJ2" s="209"/>
      <c r="EK2" s="209"/>
      <c r="EL2" s="209"/>
      <c r="EM2" s="209"/>
      <c r="EN2" s="209"/>
      <c r="EO2" s="209"/>
      <c r="EP2" s="209"/>
      <c r="EQ2" s="209"/>
      <c r="ER2" s="209"/>
      <c r="ES2" s="209"/>
      <c r="ET2" s="209"/>
      <c r="EU2" s="209"/>
      <c r="EV2" s="209"/>
      <c r="EW2" s="209"/>
      <c r="EX2" s="209"/>
      <c r="EY2" s="209"/>
      <c r="EZ2" s="209"/>
      <c r="FA2" s="209"/>
      <c r="FB2" s="209"/>
      <c r="FC2" s="209"/>
      <c r="FD2" s="209"/>
      <c r="FE2" s="209"/>
      <c r="FF2" s="209"/>
      <c r="FG2" s="209"/>
      <c r="FH2" s="209"/>
      <c r="FI2" s="209"/>
      <c r="FJ2" s="209"/>
      <c r="FK2" s="209"/>
      <c r="FL2" s="209"/>
      <c r="FM2" s="209"/>
      <c r="FN2" s="209"/>
      <c r="FO2" s="209"/>
      <c r="FP2" s="209"/>
      <c r="FQ2" s="209"/>
      <c r="FR2" s="209"/>
      <c r="FS2" s="209"/>
      <c r="FT2" s="209"/>
      <c r="FU2" s="209"/>
      <c r="FV2" s="209"/>
      <c r="FW2" s="209"/>
      <c r="FX2" s="209"/>
      <c r="FY2" s="209"/>
      <c r="FZ2" s="209"/>
      <c r="GA2" s="209"/>
      <c r="GB2" s="209"/>
      <c r="GC2" s="209"/>
      <c r="GD2" s="209"/>
      <c r="GE2" s="209"/>
      <c r="GF2" s="209"/>
      <c r="GG2" s="209"/>
      <c r="GH2" s="209"/>
      <c r="GI2" s="209"/>
      <c r="GJ2" s="209"/>
      <c r="GK2" s="209"/>
      <c r="GL2" s="209"/>
      <c r="GM2" s="209"/>
      <c r="GN2" s="209"/>
      <c r="GO2" s="209"/>
      <c r="GP2" s="209"/>
      <c r="GQ2" s="209"/>
      <c r="GR2" s="209"/>
      <c r="GS2" s="209"/>
      <c r="GT2" s="209"/>
      <c r="GU2" s="209"/>
      <c r="GV2" s="209"/>
      <c r="GW2" s="209"/>
      <c r="GX2" s="209"/>
      <c r="GY2" s="209"/>
      <c r="GZ2" s="209"/>
      <c r="HA2" s="209"/>
      <c r="HB2" s="209"/>
      <c r="HC2" s="209"/>
      <c r="HD2" s="209"/>
      <c r="HE2" s="209"/>
      <c r="HF2" s="209"/>
      <c r="HG2" s="209"/>
      <c r="HH2" s="209"/>
      <c r="HI2" s="209"/>
      <c r="HJ2" s="209"/>
      <c r="HK2" s="209"/>
      <c r="HL2" s="209"/>
      <c r="HM2" s="209"/>
      <c r="HN2" s="209"/>
      <c r="HO2" s="209"/>
      <c r="HP2" s="209"/>
      <c r="HQ2" s="209"/>
      <c r="HR2" s="209"/>
      <c r="HS2" s="209"/>
      <c r="HT2" s="209"/>
      <c r="HU2" s="209"/>
      <c r="HV2" s="209"/>
      <c r="HW2" s="209"/>
      <c r="HX2" s="209"/>
      <c r="HY2" s="209"/>
      <c r="HZ2" s="209"/>
      <c r="IA2" s="209"/>
      <c r="IB2" s="209"/>
      <c r="IC2" s="209"/>
      <c r="ID2" s="209"/>
      <c r="IE2" s="209"/>
      <c r="IF2" s="209"/>
      <c r="IG2" s="209"/>
      <c r="IH2" s="209"/>
      <c r="II2" s="209"/>
      <c r="IJ2" s="209"/>
      <c r="IK2" s="209"/>
      <c r="IL2" s="209"/>
      <c r="IM2" s="209"/>
      <c r="IN2" s="209"/>
      <c r="IO2" s="209"/>
      <c r="IP2" s="209"/>
      <c r="IQ2" s="209"/>
      <c r="IR2" s="209"/>
      <c r="IS2" s="209"/>
      <c r="IT2" s="209"/>
      <c r="IU2" s="209"/>
      <c r="IV2" s="209"/>
      <c r="IW2" s="209"/>
      <c r="IX2" s="209"/>
      <c r="IY2" s="209"/>
      <c r="IZ2" s="209"/>
      <c r="JA2" s="209"/>
      <c r="JB2" s="209"/>
      <c r="JC2" s="209"/>
      <c r="JD2" s="209"/>
      <c r="JE2" s="209"/>
      <c r="JF2" s="209"/>
      <c r="JG2" s="209"/>
      <c r="JH2" s="209"/>
      <c r="JI2" s="209"/>
      <c r="JJ2" s="209"/>
      <c r="JK2" s="209"/>
      <c r="JL2" s="209"/>
      <c r="JM2" s="209"/>
      <c r="JN2" s="209"/>
      <c r="JO2" s="209"/>
      <c r="JP2" s="209"/>
      <c r="JQ2" s="209"/>
      <c r="JR2" s="209"/>
      <c r="JS2" s="209"/>
      <c r="JT2" s="209"/>
      <c r="JU2" s="209"/>
      <c r="JV2" s="209"/>
      <c r="JW2" s="209"/>
      <c r="JX2" s="209"/>
      <c r="JY2" s="209"/>
      <c r="JZ2" s="209"/>
      <c r="KA2" s="209"/>
      <c r="KB2" s="209"/>
      <c r="KC2" s="209"/>
      <c r="KD2" s="209"/>
      <c r="KE2" s="209"/>
      <c r="KF2" s="209"/>
      <c r="KG2" s="209"/>
      <c r="KH2" s="209"/>
      <c r="KI2" s="209"/>
      <c r="KJ2" s="209"/>
      <c r="KK2" s="209"/>
      <c r="KL2" s="209"/>
      <c r="KM2" s="209"/>
      <c r="KN2" s="209"/>
      <c r="KO2" s="209"/>
      <c r="KP2" s="209"/>
      <c r="KQ2" s="209"/>
      <c r="KR2" s="209"/>
      <c r="KS2" s="209"/>
      <c r="KT2" s="209"/>
      <c r="KU2" s="209"/>
      <c r="KV2" s="209"/>
      <c r="KW2" s="209"/>
      <c r="KX2" s="209"/>
      <c r="KY2" s="209"/>
      <c r="KZ2" s="209"/>
      <c r="LA2" s="209"/>
      <c r="LB2" s="209"/>
      <c r="LC2" s="209"/>
      <c r="LD2" s="209"/>
      <c r="LE2" s="209"/>
      <c r="LF2" s="209"/>
      <c r="LG2" s="209"/>
      <c r="LH2" s="209"/>
      <c r="LI2" s="209"/>
      <c r="LJ2" s="209"/>
      <c r="LK2" s="209"/>
      <c r="LL2" s="209"/>
      <c r="LM2" s="209"/>
      <c r="LN2" s="209"/>
      <c r="LO2" s="209"/>
      <c r="LP2" s="209"/>
      <c r="LQ2" s="209"/>
      <c r="LR2" s="209"/>
      <c r="LS2" s="209"/>
      <c r="LT2" s="209"/>
      <c r="LU2" s="209"/>
      <c r="LV2" s="209"/>
      <c r="LW2" s="209"/>
      <c r="LX2" s="209"/>
      <c r="LY2" s="209"/>
      <c r="LZ2" s="209"/>
      <c r="MA2" s="209"/>
      <c r="MB2" s="209"/>
      <c r="MC2" s="209"/>
      <c r="MD2" s="209"/>
      <c r="ME2" s="209"/>
      <c r="MF2" s="209"/>
      <c r="MG2" s="209"/>
      <c r="MH2" s="209"/>
      <c r="MI2" s="209"/>
      <c r="MJ2" s="209"/>
      <c r="MK2" s="209"/>
      <c r="ML2" s="209"/>
      <c r="MM2" s="209"/>
      <c r="MN2" s="209"/>
      <c r="MO2" s="209"/>
      <c r="MP2" s="209"/>
      <c r="MQ2" s="209"/>
      <c r="MR2" s="209"/>
      <c r="MS2" s="209"/>
      <c r="MT2" s="209"/>
      <c r="MU2" s="209"/>
      <c r="MV2" s="209"/>
      <c r="MW2" s="209"/>
      <c r="MX2" s="209"/>
      <c r="MY2" s="209"/>
      <c r="MZ2" s="209"/>
      <c r="NA2" s="209"/>
      <c r="NB2" s="209"/>
      <c r="NC2" s="209"/>
      <c r="ND2" s="209"/>
      <c r="NE2" s="209"/>
      <c r="NF2" s="209"/>
      <c r="NG2" s="209"/>
      <c r="NH2" s="209"/>
      <c r="NI2" s="209"/>
      <c r="NJ2" s="209"/>
      <c r="NK2" s="209"/>
      <c r="NL2" s="209"/>
      <c r="NM2" s="209"/>
      <c r="NN2" s="209"/>
      <c r="NO2" s="209"/>
      <c r="NP2" s="209"/>
      <c r="NQ2" s="209"/>
      <c r="NR2" s="209"/>
      <c r="NS2" s="209"/>
      <c r="NT2" s="209"/>
      <c r="NU2" s="209"/>
      <c r="NV2" s="209"/>
      <c r="NW2" s="209"/>
      <c r="NX2" s="209"/>
      <c r="NY2" s="209"/>
      <c r="NZ2" s="209"/>
      <c r="OA2" s="209"/>
      <c r="OB2" s="209"/>
      <c r="OC2" s="209"/>
      <c r="OD2" s="209"/>
      <c r="OE2" s="209"/>
      <c r="OF2" s="209"/>
      <c r="OG2" s="209"/>
      <c r="OH2" s="209"/>
      <c r="OI2" s="209"/>
      <c r="OJ2" s="209"/>
      <c r="OK2" s="209"/>
      <c r="OL2" s="209"/>
      <c r="OM2" s="209"/>
      <c r="ON2" s="209"/>
      <c r="OO2" s="209"/>
      <c r="OP2" s="209"/>
      <c r="OQ2" s="209"/>
      <c r="OR2" s="209"/>
      <c r="OS2" s="209"/>
      <c r="OT2" s="209"/>
      <c r="OU2" s="209"/>
      <c r="OV2" s="209"/>
      <c r="OW2" s="209"/>
      <c r="OX2" s="209"/>
      <c r="OY2" s="209"/>
      <c r="OZ2" s="209"/>
      <c r="PA2" s="209"/>
      <c r="PB2" s="209"/>
      <c r="PC2" s="209"/>
      <c r="PD2" s="209"/>
      <c r="PE2" s="209"/>
      <c r="PF2" s="209"/>
      <c r="PG2" s="209"/>
      <c r="PH2" s="209"/>
      <c r="PI2" s="209"/>
      <c r="PJ2" s="209"/>
      <c r="PK2" s="209"/>
      <c r="PL2" s="209"/>
      <c r="PM2" s="209"/>
      <c r="PN2" s="209"/>
      <c r="PO2" s="209"/>
      <c r="PP2" s="209"/>
      <c r="PQ2" s="209"/>
      <c r="PR2" s="209"/>
      <c r="PS2" s="209"/>
      <c r="PT2" s="209"/>
      <c r="PU2" s="209"/>
      <c r="PV2" s="209"/>
      <c r="PW2" s="209"/>
      <c r="PX2" s="209"/>
      <c r="PY2" s="209"/>
      <c r="PZ2" s="209"/>
      <c r="QA2" s="209"/>
      <c r="QB2" s="209"/>
      <c r="QC2" s="209"/>
      <c r="QD2" s="209"/>
      <c r="QE2" s="209"/>
      <c r="QF2" s="209"/>
      <c r="QG2" s="209"/>
      <c r="QH2" s="209"/>
      <c r="QI2" s="209"/>
      <c r="QJ2" s="209"/>
      <c r="QK2" s="209"/>
      <c r="QL2" s="209"/>
      <c r="QM2" s="209"/>
      <c r="QN2" s="209"/>
      <c r="QO2" s="209"/>
      <c r="QP2" s="209"/>
      <c r="QQ2" s="209"/>
      <c r="QR2" s="209"/>
      <c r="QS2" s="209"/>
      <c r="QT2" s="209"/>
      <c r="QU2" s="209"/>
      <c r="QV2" s="209"/>
      <c r="QW2" s="209"/>
      <c r="QX2" s="209"/>
      <c r="QY2" s="209"/>
      <c r="QZ2" s="209"/>
      <c r="RA2" s="209"/>
      <c r="RB2" s="209"/>
      <c r="RC2" s="209"/>
      <c r="RD2" s="209"/>
      <c r="RE2" s="209"/>
      <c r="RF2" s="209"/>
      <c r="RG2" s="209"/>
      <c r="RH2" s="209"/>
      <c r="RI2" s="209"/>
      <c r="RJ2" s="209"/>
      <c r="RK2" s="209"/>
      <c r="RL2" s="209"/>
      <c r="RM2" s="209"/>
      <c r="RN2" s="209"/>
      <c r="RO2" s="209"/>
      <c r="RP2" s="209"/>
      <c r="RQ2" s="209"/>
      <c r="RR2" s="209"/>
      <c r="RS2" s="209"/>
      <c r="RT2" s="209"/>
      <c r="RU2" s="209"/>
      <c r="RV2" s="209"/>
      <c r="RW2" s="209"/>
      <c r="RX2" s="209"/>
      <c r="RY2" s="209"/>
      <c r="RZ2" s="209"/>
      <c r="SA2" s="209"/>
      <c r="SB2" s="209"/>
      <c r="SC2" s="209"/>
      <c r="SD2" s="209"/>
      <c r="SE2" s="209"/>
      <c r="SF2" s="209"/>
      <c r="SG2" s="209"/>
      <c r="SH2" s="209"/>
      <c r="SI2" s="209"/>
      <c r="SJ2" s="209"/>
      <c r="SK2" s="209"/>
      <c r="SL2" s="209"/>
      <c r="SM2" s="209"/>
      <c r="SN2" s="209"/>
      <c r="SO2" s="209"/>
      <c r="SP2" s="209"/>
      <c r="SQ2" s="209"/>
      <c r="SR2" s="209"/>
      <c r="SS2" s="209"/>
      <c r="ST2" s="209"/>
      <c r="SU2" s="209"/>
      <c r="SV2" s="209"/>
      <c r="SW2" s="209"/>
      <c r="SX2" s="209"/>
      <c r="SY2" s="209"/>
      <c r="SZ2" s="209"/>
      <c r="TA2" s="209"/>
      <c r="TB2" s="209"/>
      <c r="TC2" s="209"/>
      <c r="TD2" s="209"/>
      <c r="TE2" s="209"/>
      <c r="TF2" s="209"/>
      <c r="TG2" s="209"/>
      <c r="TH2" s="209"/>
      <c r="TI2" s="209"/>
      <c r="TJ2" s="209"/>
      <c r="TK2" s="209"/>
      <c r="TL2" s="209"/>
      <c r="TM2" s="209"/>
      <c r="TN2" s="209"/>
      <c r="TO2" s="209"/>
      <c r="TP2" s="209"/>
      <c r="TQ2" s="209"/>
      <c r="TR2" s="209"/>
      <c r="TS2" s="209"/>
      <c r="TT2" s="209"/>
      <c r="TU2" s="209"/>
      <c r="TV2" s="209"/>
      <c r="TW2" s="209"/>
      <c r="TX2" s="209"/>
      <c r="TY2" s="209"/>
      <c r="TZ2" s="209"/>
      <c r="UA2" s="209"/>
      <c r="UB2" s="209"/>
      <c r="UC2" s="209"/>
      <c r="UD2" s="209"/>
      <c r="UE2" s="209"/>
      <c r="UF2" s="209"/>
      <c r="UG2" s="209"/>
      <c r="UH2" s="209"/>
      <c r="UI2" s="209"/>
      <c r="UJ2" s="209"/>
      <c r="UK2" s="209"/>
      <c r="UL2" s="209"/>
      <c r="UM2" s="209"/>
      <c r="UN2" s="209"/>
      <c r="UO2" s="209"/>
      <c r="UP2" s="209"/>
      <c r="UQ2" s="209"/>
      <c r="UR2" s="209"/>
      <c r="US2" s="209"/>
      <c r="UT2" s="209"/>
      <c r="UU2" s="209"/>
      <c r="UV2" s="209"/>
      <c r="UW2" s="209"/>
      <c r="UX2" s="209"/>
      <c r="UY2" s="209"/>
      <c r="UZ2" s="209"/>
      <c r="VA2" s="209"/>
      <c r="VB2" s="209"/>
      <c r="VC2" s="209"/>
      <c r="VD2" s="209"/>
      <c r="VE2" s="209"/>
      <c r="VF2" s="209"/>
      <c r="VG2" s="209"/>
      <c r="VH2" s="209"/>
      <c r="VI2" s="209"/>
      <c r="VJ2" s="209"/>
      <c r="VK2" s="209"/>
      <c r="VL2" s="209"/>
      <c r="VM2" s="209"/>
      <c r="VN2" s="209"/>
      <c r="VO2" s="209"/>
      <c r="VP2" s="209"/>
      <c r="VQ2" s="209"/>
      <c r="VR2" s="209"/>
      <c r="VS2" s="209"/>
      <c r="VT2" s="209"/>
      <c r="VU2" s="209"/>
      <c r="VV2" s="209"/>
      <c r="VW2" s="209"/>
      <c r="VX2" s="209"/>
      <c r="VY2" s="209"/>
      <c r="VZ2" s="209"/>
      <c r="WA2" s="209"/>
      <c r="WB2" s="209"/>
      <c r="WC2" s="209"/>
      <c r="WD2" s="209"/>
      <c r="WE2" s="209"/>
      <c r="WF2" s="209"/>
      <c r="WG2" s="209"/>
      <c r="WH2" s="209"/>
      <c r="WI2" s="209"/>
      <c r="WJ2" s="209"/>
      <c r="WK2" s="209"/>
      <c r="WL2" s="209"/>
      <c r="WM2" s="209"/>
      <c r="WN2" s="209"/>
      <c r="WO2" s="209"/>
      <c r="WP2" s="209"/>
      <c r="WQ2" s="209"/>
      <c r="WR2" s="209"/>
      <c r="WS2" s="209"/>
      <c r="WT2" s="209"/>
      <c r="WU2" s="209"/>
      <c r="WV2" s="209"/>
      <c r="WW2" s="209"/>
      <c r="WX2" s="209"/>
      <c r="WY2" s="209"/>
      <c r="WZ2" s="209"/>
      <c r="XA2" s="209"/>
      <c r="XB2" s="209"/>
      <c r="XC2" s="209"/>
      <c r="XD2" s="209"/>
      <c r="XE2" s="209"/>
      <c r="XF2" s="209"/>
      <c r="XG2" s="209"/>
      <c r="XH2" s="209"/>
      <c r="XI2" s="209"/>
      <c r="XJ2" s="209"/>
      <c r="XK2" s="209"/>
      <c r="XL2" s="209"/>
      <c r="XM2" s="209"/>
      <c r="XN2" s="209"/>
      <c r="XO2" s="209"/>
      <c r="XP2" s="209"/>
      <c r="XQ2" s="209"/>
      <c r="XR2" s="209"/>
      <c r="XS2" s="209"/>
      <c r="XT2" s="209"/>
      <c r="XU2" s="209"/>
      <c r="XV2" s="209"/>
      <c r="XW2" s="209"/>
      <c r="XX2" s="209"/>
      <c r="XY2" s="209"/>
      <c r="XZ2" s="209"/>
      <c r="YA2" s="209"/>
      <c r="YB2" s="209"/>
      <c r="YC2" s="209"/>
      <c r="YD2" s="209"/>
      <c r="YE2" s="209"/>
      <c r="YF2" s="209"/>
      <c r="YG2" s="209"/>
      <c r="YH2" s="209"/>
      <c r="YI2" s="209"/>
      <c r="YJ2" s="209"/>
      <c r="YK2" s="209"/>
      <c r="YL2" s="209"/>
      <c r="YM2" s="209"/>
      <c r="YN2" s="209"/>
      <c r="YO2" s="209"/>
      <c r="YP2" s="209"/>
      <c r="YQ2" s="209"/>
      <c r="YR2" s="209"/>
      <c r="YS2" s="209"/>
      <c r="YT2" s="209"/>
      <c r="YU2" s="209"/>
      <c r="YV2" s="209"/>
      <c r="YW2" s="209"/>
      <c r="YX2" s="209"/>
      <c r="YY2" s="209"/>
      <c r="YZ2" s="209"/>
      <c r="ZA2" s="209"/>
      <c r="ZB2" s="209"/>
      <c r="ZC2" s="209"/>
      <c r="ZD2" s="209"/>
      <c r="ZE2" s="209"/>
      <c r="ZF2" s="209"/>
      <c r="ZG2" s="209"/>
      <c r="ZH2" s="209"/>
      <c r="ZI2" s="209"/>
      <c r="ZJ2" s="209"/>
      <c r="ZK2" s="209"/>
      <c r="ZL2" s="209"/>
      <c r="ZM2" s="209"/>
      <c r="ZN2" s="209"/>
      <c r="ZO2" s="209"/>
      <c r="ZP2" s="209"/>
      <c r="ZQ2" s="209"/>
      <c r="ZR2" s="209"/>
      <c r="ZS2" s="209"/>
      <c r="ZT2" s="209"/>
      <c r="ZU2" s="209"/>
      <c r="ZV2" s="209"/>
      <c r="ZW2" s="209"/>
      <c r="ZX2" s="209"/>
      <c r="ZY2" s="209"/>
      <c r="ZZ2" s="209"/>
      <c r="AAA2" s="209"/>
      <c r="AAB2" s="209"/>
      <c r="AAC2" s="209"/>
      <c r="AAD2" s="209"/>
      <c r="AAE2" s="209"/>
      <c r="AAF2" s="209"/>
      <c r="AAG2" s="209"/>
      <c r="AAH2" s="209"/>
      <c r="AAI2" s="209"/>
      <c r="AAJ2" s="209"/>
      <c r="AAK2" s="209"/>
      <c r="AAL2" s="209"/>
      <c r="AAM2" s="209"/>
      <c r="AAN2" s="209"/>
      <c r="AAO2" s="209"/>
      <c r="AAP2" s="209"/>
      <c r="AAQ2" s="209"/>
      <c r="AAR2" s="209"/>
      <c r="AAS2" s="209"/>
      <c r="AAT2" s="209"/>
      <c r="AAU2" s="209"/>
      <c r="AAV2" s="209"/>
      <c r="AAW2" s="209"/>
      <c r="AAX2" s="209"/>
      <c r="AAY2" s="209"/>
      <c r="AAZ2" s="209"/>
      <c r="ABA2" s="209"/>
      <c r="ABB2" s="209"/>
      <c r="ABC2" s="209"/>
      <c r="ABD2" s="209"/>
      <c r="ABE2" s="209"/>
      <c r="ABF2" s="209"/>
      <c r="ABG2" s="209"/>
      <c r="ABH2" s="209"/>
      <c r="ABI2" s="209"/>
      <c r="ABJ2" s="209"/>
      <c r="ABK2" s="209"/>
      <c r="ABL2" s="209"/>
      <c r="ABM2" s="209"/>
      <c r="ABN2" s="209"/>
      <c r="ABO2" s="209"/>
      <c r="ABP2" s="209"/>
      <c r="ABQ2" s="209"/>
      <c r="ABR2" s="209"/>
      <c r="ABS2" s="209"/>
      <c r="ABT2" s="209"/>
      <c r="ABU2" s="209"/>
      <c r="ABV2" s="209"/>
      <c r="ABW2" s="209"/>
      <c r="ABX2" s="209"/>
      <c r="ABY2" s="209"/>
      <c r="ABZ2" s="209"/>
      <c r="ACA2" s="209"/>
      <c r="ACB2" s="209"/>
      <c r="ACC2" s="209"/>
      <c r="ACD2" s="209"/>
      <c r="ACE2" s="209"/>
      <c r="ACF2" s="209"/>
      <c r="ACG2" s="209"/>
      <c r="ACH2" s="209"/>
      <c r="ACI2" s="209"/>
      <c r="ACJ2" s="209"/>
      <c r="ACK2" s="209"/>
      <c r="ACL2" s="209"/>
      <c r="ACM2" s="209"/>
      <c r="ACN2" s="209"/>
      <c r="ACO2" s="209"/>
      <c r="ACP2" s="209"/>
      <c r="ACQ2" s="209"/>
      <c r="ACR2" s="209"/>
      <c r="ACS2" s="209"/>
      <c r="ACT2" s="209"/>
      <c r="ACU2" s="209"/>
      <c r="ACV2" s="209"/>
      <c r="ACW2" s="209"/>
      <c r="ACX2" s="209"/>
      <c r="ACY2" s="209"/>
      <c r="ACZ2" s="209"/>
      <c r="ADA2" s="209"/>
      <c r="ADB2" s="209"/>
      <c r="ADC2" s="209"/>
      <c r="ADD2" s="209"/>
      <c r="ADE2" s="209"/>
      <c r="ADF2" s="209"/>
      <c r="ADG2" s="209"/>
      <c r="ADH2" s="209"/>
      <c r="ADI2" s="209"/>
      <c r="ADJ2" s="209"/>
      <c r="ADK2" s="209"/>
      <c r="ADL2" s="209"/>
      <c r="ADM2" s="209"/>
      <c r="ADN2" s="209"/>
      <c r="ADO2" s="209"/>
      <c r="ADP2" s="209"/>
      <c r="ADQ2" s="209"/>
      <c r="ADR2" s="209"/>
      <c r="ADS2" s="209"/>
      <c r="ADT2" s="209"/>
      <c r="ADU2" s="209"/>
      <c r="ADV2" s="209"/>
      <c r="ADW2" s="209"/>
      <c r="ADX2" s="209"/>
      <c r="ADY2" s="209"/>
      <c r="ADZ2" s="209"/>
      <c r="AEA2" s="209"/>
      <c r="AEB2" s="209"/>
      <c r="AEC2" s="209"/>
      <c r="AED2" s="209"/>
      <c r="AEE2" s="209"/>
      <c r="AEF2" s="209"/>
      <c r="AEG2" s="209"/>
      <c r="AEH2" s="209"/>
      <c r="AEI2" s="209"/>
      <c r="AEJ2" s="209"/>
      <c r="AEK2" s="209"/>
      <c r="AEL2" s="209"/>
      <c r="AEM2" s="209"/>
      <c r="AEN2" s="209"/>
      <c r="AEO2" s="209"/>
      <c r="AEP2" s="209"/>
      <c r="AEQ2" s="209"/>
      <c r="AER2" s="209"/>
      <c r="AES2" s="209"/>
      <c r="AET2" s="209"/>
      <c r="AEU2" s="209"/>
      <c r="AEV2" s="209"/>
      <c r="AEW2" s="209"/>
      <c r="AEX2" s="209"/>
      <c r="AEY2" s="209"/>
      <c r="AEZ2" s="209"/>
      <c r="AFA2" s="209"/>
      <c r="AFB2" s="209"/>
      <c r="AFC2" s="209"/>
      <c r="AFD2" s="209"/>
      <c r="AFE2" s="209"/>
      <c r="AFF2" s="209"/>
      <c r="AFG2" s="209"/>
      <c r="AFH2" s="209"/>
      <c r="AFI2" s="209"/>
      <c r="AFJ2" s="209"/>
      <c r="AFK2" s="209"/>
      <c r="AFL2" s="209"/>
      <c r="AFM2" s="209"/>
      <c r="AFN2" s="209"/>
      <c r="AFO2" s="209"/>
      <c r="AFP2" s="209"/>
      <c r="AFQ2" s="209"/>
      <c r="AFR2" s="209"/>
      <c r="AFS2" s="209"/>
      <c r="AFT2" s="209"/>
      <c r="AFU2" s="209"/>
      <c r="AFV2" s="209"/>
      <c r="AFW2" s="209"/>
      <c r="AFX2" s="209"/>
      <c r="AFY2" s="209"/>
      <c r="AFZ2" s="209"/>
      <c r="AGA2" s="209"/>
      <c r="AGB2" s="209"/>
      <c r="AGC2" s="209"/>
      <c r="AGD2" s="209"/>
      <c r="AGE2" s="209"/>
      <c r="AGF2" s="209"/>
      <c r="AGG2" s="209"/>
      <c r="AGH2" s="209"/>
      <c r="AGI2" s="209"/>
      <c r="AGJ2" s="209"/>
      <c r="AGK2" s="209"/>
      <c r="AGL2" s="209"/>
      <c r="AGM2" s="209"/>
      <c r="AGN2" s="209"/>
      <c r="AGO2" s="209"/>
      <c r="AGP2" s="209"/>
      <c r="AGQ2" s="209"/>
      <c r="AGR2" s="209"/>
      <c r="AGS2" s="209"/>
      <c r="AGT2" s="209"/>
      <c r="AGU2" s="209"/>
      <c r="AGV2" s="209"/>
      <c r="AGW2" s="209"/>
      <c r="AGX2" s="209"/>
      <c r="AGY2" s="209"/>
      <c r="AGZ2" s="209"/>
      <c r="AHA2" s="209"/>
      <c r="AHB2" s="209"/>
      <c r="AHC2" s="209"/>
      <c r="AHD2" s="209"/>
      <c r="AHE2" s="209"/>
      <c r="AHF2" s="209"/>
      <c r="AHG2" s="209"/>
      <c r="AHH2" s="209"/>
      <c r="AHI2" s="209"/>
      <c r="AHJ2" s="209"/>
      <c r="AHK2" s="209"/>
      <c r="AHL2" s="209"/>
      <c r="AHM2" s="209"/>
      <c r="AHN2" s="209"/>
      <c r="AHO2" s="209"/>
      <c r="AHP2" s="209"/>
      <c r="AHQ2" s="209"/>
      <c r="AHR2" s="209"/>
      <c r="AHS2" s="209"/>
      <c r="AHT2" s="209"/>
      <c r="AHU2" s="209"/>
      <c r="AHV2" s="209"/>
      <c r="AHW2" s="209"/>
      <c r="AHX2" s="209"/>
      <c r="AHY2" s="209"/>
      <c r="AHZ2" s="209"/>
      <c r="AIA2" s="209"/>
      <c r="AIB2" s="209"/>
      <c r="AIC2" s="209"/>
      <c r="AID2" s="209"/>
      <c r="AIE2" s="209"/>
      <c r="AIF2" s="209"/>
      <c r="AIG2" s="209"/>
      <c r="AIH2" s="209"/>
      <c r="AII2" s="209"/>
      <c r="AIJ2" s="209"/>
      <c r="AIK2" s="209"/>
      <c r="AIL2" s="209"/>
      <c r="AIM2" s="209"/>
      <c r="AIN2" s="209"/>
      <c r="AIO2" s="209"/>
      <c r="AIP2" s="209"/>
      <c r="AIQ2" s="209"/>
      <c r="AIR2" s="209"/>
      <c r="AIS2" s="209"/>
      <c r="AIT2" s="209"/>
      <c r="AIU2" s="209"/>
      <c r="AIV2" s="209"/>
      <c r="AIW2" s="209"/>
      <c r="AIX2" s="209"/>
      <c r="AIY2" s="209"/>
      <c r="AIZ2" s="209"/>
      <c r="AJA2" s="209"/>
      <c r="AJB2" s="209"/>
      <c r="AJC2" s="209"/>
      <c r="AJD2" s="209"/>
      <c r="AJE2" s="209"/>
      <c r="AJF2" s="209"/>
      <c r="AJG2" s="209"/>
      <c r="AJH2" s="209"/>
      <c r="AJI2" s="209"/>
      <c r="AJJ2" s="209"/>
      <c r="AJK2" s="209"/>
      <c r="AJL2" s="209"/>
      <c r="AJM2" s="209"/>
      <c r="AJN2" s="209"/>
      <c r="AJO2" s="209"/>
      <c r="AJP2" s="209"/>
      <c r="AJQ2" s="209"/>
      <c r="AJR2" s="209"/>
      <c r="AJS2" s="209"/>
      <c r="AJT2" s="209"/>
      <c r="AJU2" s="209"/>
      <c r="AJV2" s="209"/>
      <c r="AJW2" s="209"/>
      <c r="AJX2" s="209"/>
      <c r="AJY2" s="209"/>
      <c r="AJZ2" s="209"/>
      <c r="AKA2" s="209"/>
      <c r="AKB2" s="209"/>
      <c r="AKC2" s="209"/>
      <c r="AKD2" s="209"/>
      <c r="AKE2" s="209"/>
      <c r="AKF2" s="209"/>
      <c r="AKG2" s="209"/>
      <c r="AKH2" s="209"/>
      <c r="AKI2" s="209"/>
      <c r="AKJ2" s="209"/>
      <c r="AKK2" s="209"/>
      <c r="AKL2" s="209"/>
      <c r="AKM2" s="209"/>
      <c r="AKN2" s="209"/>
      <c r="AKO2" s="209"/>
      <c r="AKP2" s="209"/>
      <c r="AKQ2" s="209"/>
      <c r="AKR2" s="209"/>
      <c r="AKS2" s="209"/>
      <c r="AKT2" s="209"/>
      <c r="AKU2" s="209"/>
      <c r="AKV2" s="209"/>
      <c r="AKW2" s="209"/>
      <c r="AKX2" s="209"/>
      <c r="AKY2" s="209"/>
      <c r="AKZ2" s="209"/>
      <c r="ALA2" s="209"/>
      <c r="ALB2" s="209"/>
      <c r="ALC2" s="209"/>
      <c r="ALD2" s="209"/>
      <c r="ALE2" s="209"/>
      <c r="ALF2" s="209"/>
      <c r="ALG2" s="209"/>
      <c r="ALH2" s="209"/>
      <c r="ALI2" s="209"/>
      <c r="ALJ2" s="209"/>
      <c r="ALK2" s="209"/>
      <c r="ALL2" s="209"/>
      <c r="ALM2" s="209"/>
      <c r="ALN2" s="209"/>
      <c r="ALO2" s="209"/>
      <c r="ALP2" s="209"/>
      <c r="ALQ2" s="209"/>
      <c r="ALR2" s="209"/>
      <c r="ALS2" s="209"/>
      <c r="ALT2" s="209"/>
      <c r="ALU2" s="209"/>
      <c r="ALV2" s="209"/>
      <c r="ALW2" s="209"/>
      <c r="ALX2" s="209"/>
      <c r="ALY2" s="209"/>
      <c r="ALZ2" s="209"/>
      <c r="AMA2" s="209"/>
      <c r="AMB2" s="209"/>
      <c r="AMC2" s="209"/>
      <c r="AMD2" s="209"/>
      <c r="AME2" s="209"/>
      <c r="AMF2" s="209"/>
      <c r="AMG2" s="209"/>
      <c r="AMH2" s="209"/>
      <c r="AMI2" s="209"/>
      <c r="AMJ2" s="209"/>
      <c r="AMK2" s="209"/>
    </row>
    <row r="3" spans="2:1025" ht="52.5" customHeight="1">
      <c r="B3" s="248">
        <v>1</v>
      </c>
      <c r="C3" s="249" t="s">
        <v>378</v>
      </c>
      <c r="D3" s="249" t="s">
        <v>379</v>
      </c>
      <c r="E3" s="250" t="s">
        <v>380</v>
      </c>
      <c r="F3" s="250" t="s">
        <v>381</v>
      </c>
      <c r="G3" s="251" t="s">
        <v>382</v>
      </c>
      <c r="H3" s="251" t="s">
        <v>383</v>
      </c>
      <c r="I3" s="252">
        <v>0.1925</v>
      </c>
      <c r="J3" s="253" t="s">
        <v>384</v>
      </c>
      <c r="K3" s="251" t="s">
        <v>385</v>
      </c>
      <c r="L3" s="254" t="s">
        <v>386</v>
      </c>
      <c r="M3" s="254" t="s">
        <v>387</v>
      </c>
      <c r="N3" s="255">
        <v>0.1225</v>
      </c>
      <c r="O3" s="251">
        <v>0.55000000000000004</v>
      </c>
      <c r="P3" s="251">
        <v>0.35</v>
      </c>
      <c r="Q3" s="251">
        <v>0.35</v>
      </c>
      <c r="R3" s="251">
        <v>0.35</v>
      </c>
      <c r="S3" s="256" t="s">
        <v>388</v>
      </c>
      <c r="T3" s="256" t="s">
        <v>389</v>
      </c>
      <c r="U3" s="257" t="s">
        <v>390</v>
      </c>
    </row>
    <row r="4" spans="2:1025" ht="69.75" customHeight="1">
      <c r="B4" s="258">
        <v>2</v>
      </c>
      <c r="C4" s="211" t="s">
        <v>391</v>
      </c>
      <c r="D4" s="211" t="s">
        <v>392</v>
      </c>
      <c r="E4" s="212" t="s">
        <v>380</v>
      </c>
      <c r="F4" s="212" t="s">
        <v>393</v>
      </c>
      <c r="G4" s="254" t="s">
        <v>386</v>
      </c>
      <c r="H4" s="254" t="s">
        <v>383</v>
      </c>
      <c r="I4" s="214">
        <v>0.41249999999999998</v>
      </c>
      <c r="J4" s="264" t="s">
        <v>394</v>
      </c>
      <c r="K4" s="267" t="s">
        <v>395</v>
      </c>
      <c r="L4" s="259" t="s">
        <v>396</v>
      </c>
      <c r="M4" s="254" t="s">
        <v>397</v>
      </c>
      <c r="N4" s="216">
        <v>0.1225</v>
      </c>
      <c r="O4" s="213">
        <v>0.55000000000000004</v>
      </c>
      <c r="P4" s="213">
        <v>0.75</v>
      </c>
      <c r="Q4" s="213">
        <v>0.35</v>
      </c>
      <c r="R4" s="213">
        <v>0.35</v>
      </c>
      <c r="S4" s="260" t="s">
        <v>398</v>
      </c>
      <c r="T4" s="260" t="s">
        <v>399</v>
      </c>
      <c r="U4" s="261" t="s">
        <v>400</v>
      </c>
    </row>
    <row r="5" spans="2:1025" ht="45.75" customHeight="1">
      <c r="B5" s="258">
        <v>3</v>
      </c>
      <c r="C5" s="211" t="s">
        <v>391</v>
      </c>
      <c r="D5" s="211" t="s">
        <v>401</v>
      </c>
      <c r="E5" s="212" t="s">
        <v>380</v>
      </c>
      <c r="F5" s="212" t="s">
        <v>402</v>
      </c>
      <c r="G5" s="254" t="s">
        <v>386</v>
      </c>
      <c r="H5" s="254" t="s">
        <v>383</v>
      </c>
      <c r="I5" s="214">
        <v>0.41249999999999998</v>
      </c>
      <c r="J5" s="212" t="s">
        <v>403</v>
      </c>
      <c r="K5" s="251" t="s">
        <v>404</v>
      </c>
      <c r="L5" s="259" t="s">
        <v>396</v>
      </c>
      <c r="M5" s="254" t="s">
        <v>397</v>
      </c>
      <c r="N5" s="216">
        <v>0.1225</v>
      </c>
      <c r="O5" s="213">
        <v>0.55000000000000004</v>
      </c>
      <c r="P5" s="213">
        <v>0.75</v>
      </c>
      <c r="Q5" s="213">
        <v>0.35</v>
      </c>
      <c r="R5" s="213">
        <v>0.35</v>
      </c>
      <c r="S5" s="260" t="s">
        <v>388</v>
      </c>
      <c r="T5" s="260" t="s">
        <v>399</v>
      </c>
      <c r="U5" s="261" t="s">
        <v>400</v>
      </c>
    </row>
    <row r="6" spans="2:1025" ht="58.5" customHeight="1">
      <c r="B6" s="258">
        <v>4</v>
      </c>
      <c r="C6" s="211" t="s">
        <v>391</v>
      </c>
      <c r="D6" s="211" t="s">
        <v>392</v>
      </c>
      <c r="E6" s="212" t="s">
        <v>380</v>
      </c>
      <c r="F6" s="212" t="s">
        <v>405</v>
      </c>
      <c r="G6" s="254" t="s">
        <v>386</v>
      </c>
      <c r="H6" s="254" t="s">
        <v>383</v>
      </c>
      <c r="I6" s="214">
        <v>0.41249999999999998</v>
      </c>
      <c r="J6" s="265" t="s">
        <v>406</v>
      </c>
      <c r="K6" s="267" t="s">
        <v>407</v>
      </c>
      <c r="L6" s="259" t="s">
        <v>396</v>
      </c>
      <c r="M6" s="254" t="s">
        <v>387</v>
      </c>
      <c r="N6" s="215">
        <v>0.1925</v>
      </c>
      <c r="O6" s="213">
        <v>0.55000000000000004</v>
      </c>
      <c r="P6" s="213">
        <v>0.75</v>
      </c>
      <c r="Q6" s="213">
        <v>0.35</v>
      </c>
      <c r="R6" s="213">
        <v>0.55000000000000004</v>
      </c>
      <c r="S6" s="260" t="s">
        <v>398</v>
      </c>
      <c r="T6" s="256" t="s">
        <v>389</v>
      </c>
      <c r="U6" s="261" t="s">
        <v>408</v>
      </c>
    </row>
    <row r="7" spans="2:1025" ht="48.75" customHeight="1">
      <c r="B7" s="258">
        <v>5</v>
      </c>
      <c r="C7" s="211" t="s">
        <v>391</v>
      </c>
      <c r="D7" s="211" t="s">
        <v>401</v>
      </c>
      <c r="E7" s="212" t="s">
        <v>380</v>
      </c>
      <c r="F7" s="212" t="s">
        <v>409</v>
      </c>
      <c r="G7" s="254" t="s">
        <v>386</v>
      </c>
      <c r="H7" s="254" t="s">
        <v>383</v>
      </c>
      <c r="I7" s="214">
        <v>0.41249999999999998</v>
      </c>
      <c r="J7" s="212" t="s">
        <v>410</v>
      </c>
      <c r="K7" s="262" t="s">
        <v>410</v>
      </c>
      <c r="L7" s="259" t="s">
        <v>396</v>
      </c>
      <c r="M7" s="213" t="s">
        <v>411</v>
      </c>
      <c r="N7" s="216">
        <v>5.2499999999999998E-2</v>
      </c>
      <c r="O7" s="213">
        <v>0.55000000000000004</v>
      </c>
      <c r="P7" s="213">
        <v>0.75</v>
      </c>
      <c r="Q7" s="213">
        <v>0.35</v>
      </c>
      <c r="R7" s="213">
        <v>0.15</v>
      </c>
      <c r="S7" s="260" t="s">
        <v>398</v>
      </c>
      <c r="T7" s="256" t="s">
        <v>399</v>
      </c>
      <c r="U7" s="261" t="s">
        <v>400</v>
      </c>
    </row>
    <row r="8" spans="2:1025" ht="45" customHeight="1">
      <c r="B8" s="258">
        <v>6</v>
      </c>
      <c r="C8" s="217" t="s">
        <v>378</v>
      </c>
      <c r="D8" s="217" t="s">
        <v>401</v>
      </c>
      <c r="E8" s="212" t="s">
        <v>380</v>
      </c>
      <c r="F8" s="218" t="s">
        <v>412</v>
      </c>
      <c r="G8" s="263" t="s">
        <v>386</v>
      </c>
      <c r="H8" s="254" t="s">
        <v>383</v>
      </c>
      <c r="I8" s="214">
        <v>0.41249999999999998</v>
      </c>
      <c r="J8" s="266" t="s">
        <v>413</v>
      </c>
      <c r="K8" s="267" t="s">
        <v>414</v>
      </c>
      <c r="L8" s="219" t="s">
        <v>396</v>
      </c>
      <c r="M8" s="219" t="s">
        <v>397</v>
      </c>
      <c r="N8" s="216">
        <v>0.1225</v>
      </c>
      <c r="O8" s="213">
        <v>0.55000000000000004</v>
      </c>
      <c r="P8" s="213">
        <v>0.75</v>
      </c>
      <c r="Q8" s="213">
        <v>0.35</v>
      </c>
      <c r="R8" s="213">
        <v>0.35</v>
      </c>
      <c r="S8" s="268" t="s">
        <v>398</v>
      </c>
      <c r="T8" s="260" t="s">
        <v>389</v>
      </c>
      <c r="U8" s="269" t="s">
        <v>390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FEE89-489D-42CE-8726-83661D967BBF}">
  <dimension ref="B1:AE57"/>
  <sheetViews>
    <sheetView topLeftCell="A35" workbookViewId="0">
      <selection activeCell="C52" sqref="C52"/>
    </sheetView>
  </sheetViews>
  <sheetFormatPr defaultRowHeight="14.25"/>
  <cols>
    <col min="1" max="1" width="9.140625" style="13"/>
    <col min="2" max="2" width="6" style="13" customWidth="1"/>
    <col min="3" max="3" width="13" style="13" customWidth="1"/>
    <col min="4" max="8" width="9.140625" style="13"/>
    <col min="9" max="9" width="3.85546875" style="13" customWidth="1"/>
    <col min="10" max="10" width="23.28515625" style="13" customWidth="1"/>
    <col min="11" max="16384" width="9.140625" style="13"/>
  </cols>
  <sheetData>
    <row r="1" spans="2:31" ht="15" customHeight="1">
      <c r="C1" s="117"/>
      <c r="D1" s="101"/>
      <c r="E1" s="101"/>
      <c r="F1" s="101"/>
      <c r="G1" s="101"/>
      <c r="H1" s="101"/>
      <c r="I1" s="101"/>
    </row>
    <row r="2" spans="2:31" ht="29.25" customHeight="1">
      <c r="C2" s="302" t="s">
        <v>415</v>
      </c>
      <c r="D2" s="302"/>
      <c r="E2" s="302"/>
      <c r="F2" s="302"/>
      <c r="G2" s="302"/>
      <c r="H2" s="302"/>
      <c r="I2" s="302"/>
      <c r="K2" s="302" t="s">
        <v>416</v>
      </c>
      <c r="L2" s="302"/>
      <c r="M2" s="302"/>
      <c r="N2" s="302"/>
      <c r="O2" s="302"/>
      <c r="P2" s="117"/>
      <c r="Q2" s="335" t="s">
        <v>417</v>
      </c>
      <c r="R2" s="336"/>
      <c r="S2" s="336"/>
      <c r="T2" s="337"/>
      <c r="U2" s="118"/>
      <c r="V2" s="347" t="s">
        <v>418</v>
      </c>
      <c r="W2" s="347"/>
      <c r="X2" s="347"/>
      <c r="Y2" s="347"/>
      <c r="AA2" s="333" t="s">
        <v>419</v>
      </c>
      <c r="AB2" s="333"/>
      <c r="AC2" s="333"/>
      <c r="AD2" s="333"/>
      <c r="AE2" s="333"/>
    </row>
    <row r="3" spans="2:31" ht="15" customHeight="1">
      <c r="C3" s="302"/>
      <c r="D3" s="302"/>
      <c r="E3" s="302"/>
      <c r="F3" s="302"/>
      <c r="G3" s="302"/>
      <c r="H3" s="302"/>
      <c r="I3" s="302"/>
      <c r="K3" s="297" t="s">
        <v>420</v>
      </c>
      <c r="L3" s="297"/>
      <c r="M3" s="297"/>
      <c r="N3" s="297"/>
      <c r="O3" s="297"/>
      <c r="P3" s="115"/>
      <c r="Q3" s="338" t="s">
        <v>421</v>
      </c>
      <c r="R3" s="339"/>
      <c r="S3" s="339"/>
      <c r="T3" s="340"/>
      <c r="U3" s="119"/>
      <c r="V3" s="348" t="s">
        <v>422</v>
      </c>
      <c r="W3" s="348"/>
      <c r="X3" s="348"/>
      <c r="Y3" s="348"/>
      <c r="AA3" s="334" t="s">
        <v>423</v>
      </c>
      <c r="AB3" s="334"/>
      <c r="AC3" s="334"/>
      <c r="AD3" s="334"/>
      <c r="AE3" s="334"/>
    </row>
    <row r="4" spans="2:31">
      <c r="C4" s="290">
        <v>1</v>
      </c>
      <c r="D4" s="331" t="s">
        <v>424</v>
      </c>
      <c r="E4" s="310"/>
      <c r="F4" s="310"/>
      <c r="G4" s="310"/>
      <c r="H4" s="310"/>
      <c r="I4" s="310"/>
      <c r="K4" s="297"/>
      <c r="L4" s="297"/>
      <c r="M4" s="297"/>
      <c r="N4" s="297"/>
      <c r="O4" s="297"/>
      <c r="P4" s="115"/>
      <c r="Q4" s="341"/>
      <c r="R4" s="342"/>
      <c r="S4" s="342"/>
      <c r="T4" s="343"/>
      <c r="U4" s="119"/>
      <c r="V4" s="348"/>
      <c r="W4" s="348"/>
      <c r="X4" s="348"/>
      <c r="Y4" s="348"/>
      <c r="AA4" s="334"/>
      <c r="AB4" s="334"/>
      <c r="AC4" s="334"/>
      <c r="AD4" s="334"/>
      <c r="AE4" s="334"/>
    </row>
    <row r="5" spans="2:31">
      <c r="C5" s="290"/>
      <c r="D5" s="310"/>
      <c r="E5" s="310"/>
      <c r="F5" s="310"/>
      <c r="G5" s="310"/>
      <c r="H5" s="310"/>
      <c r="I5" s="310"/>
      <c r="K5" s="297"/>
      <c r="L5" s="297"/>
      <c r="M5" s="297"/>
      <c r="N5" s="297"/>
      <c r="O5" s="297"/>
      <c r="P5" s="115"/>
      <c r="Q5" s="341"/>
      <c r="R5" s="342"/>
      <c r="S5" s="342"/>
      <c r="T5" s="343"/>
      <c r="AA5" s="334"/>
      <c r="AB5" s="334"/>
      <c r="AC5" s="334"/>
      <c r="AD5" s="334"/>
      <c r="AE5" s="334"/>
    </row>
    <row r="6" spans="2:31" ht="15">
      <c r="C6" s="290">
        <v>2</v>
      </c>
      <c r="D6" s="290" t="s">
        <v>425</v>
      </c>
      <c r="E6" s="290"/>
      <c r="F6" s="290"/>
      <c r="G6" s="290"/>
      <c r="H6" s="290"/>
      <c r="I6" s="290"/>
      <c r="K6" s="297"/>
      <c r="L6" s="297"/>
      <c r="M6" s="297"/>
      <c r="N6" s="297"/>
      <c r="O6" s="297"/>
      <c r="P6" s="115"/>
      <c r="Q6" s="341"/>
      <c r="R6" s="342"/>
      <c r="S6" s="342"/>
      <c r="T6" s="343"/>
      <c r="V6" s="349"/>
      <c r="W6" s="349"/>
      <c r="X6" s="349"/>
      <c r="Y6" s="349"/>
      <c r="AA6" s="334"/>
      <c r="AB6" s="334"/>
      <c r="AC6" s="334"/>
      <c r="AD6" s="334"/>
      <c r="AE6" s="334"/>
    </row>
    <row r="7" spans="2:31" ht="15" customHeight="1">
      <c r="C7" s="290"/>
      <c r="D7" s="290"/>
      <c r="E7" s="290"/>
      <c r="F7" s="290"/>
      <c r="G7" s="290"/>
      <c r="H7" s="290"/>
      <c r="I7" s="290"/>
      <c r="O7" s="115"/>
      <c r="P7" s="115"/>
      <c r="Q7" s="344"/>
      <c r="R7" s="345"/>
      <c r="S7" s="345"/>
      <c r="T7" s="346"/>
      <c r="AA7" s="334"/>
      <c r="AB7" s="334"/>
      <c r="AC7" s="334"/>
      <c r="AD7" s="334"/>
      <c r="AE7" s="334"/>
    </row>
    <row r="8" spans="2:31" ht="15" customHeight="1">
      <c r="C8" s="290"/>
      <c r="D8" s="290"/>
      <c r="E8" s="290"/>
      <c r="F8" s="290"/>
      <c r="G8" s="290"/>
      <c r="H8" s="290"/>
      <c r="I8" s="290"/>
      <c r="K8" s="302" t="s">
        <v>426</v>
      </c>
      <c r="L8" s="302"/>
      <c r="M8" s="302"/>
      <c r="N8" s="302"/>
      <c r="O8" s="302"/>
      <c r="V8" s="189"/>
    </row>
    <row r="9" spans="2:31">
      <c r="C9" s="290"/>
      <c r="D9" s="290"/>
      <c r="E9" s="290"/>
      <c r="F9" s="290"/>
      <c r="G9" s="290"/>
      <c r="H9" s="290"/>
      <c r="I9" s="290"/>
      <c r="K9" s="302"/>
      <c r="L9" s="302"/>
      <c r="M9" s="302"/>
      <c r="N9" s="302"/>
      <c r="O9" s="302"/>
      <c r="Q9" s="305" t="s">
        <v>427</v>
      </c>
      <c r="R9" s="305"/>
      <c r="S9" s="305"/>
      <c r="T9" s="305"/>
      <c r="U9" s="305"/>
      <c r="AA9" s="117"/>
      <c r="AB9" s="117"/>
      <c r="AC9" s="117"/>
      <c r="AD9" s="117"/>
      <c r="AE9" s="117"/>
    </row>
    <row r="10" spans="2:31" ht="15" customHeight="1">
      <c r="C10" s="290"/>
      <c r="D10" s="290"/>
      <c r="E10" s="290"/>
      <c r="F10" s="290"/>
      <c r="G10" s="290"/>
      <c r="H10" s="290"/>
      <c r="I10" s="290"/>
      <c r="K10" s="309" t="s">
        <v>428</v>
      </c>
      <c r="L10" s="309"/>
      <c r="M10" s="309"/>
      <c r="N10" s="309"/>
      <c r="O10" s="309"/>
      <c r="P10" s="118"/>
      <c r="Q10" s="297" t="s">
        <v>63</v>
      </c>
      <c r="R10" s="297"/>
      <c r="S10" s="297"/>
      <c r="T10" s="297"/>
      <c r="U10" s="297"/>
      <c r="V10" s="117"/>
      <c r="W10" s="117"/>
      <c r="Y10" s="118"/>
      <c r="Z10" s="118"/>
      <c r="AA10" s="305" t="s">
        <v>429</v>
      </c>
      <c r="AB10" s="305"/>
      <c r="AC10" s="305"/>
      <c r="AD10" s="305"/>
      <c r="AE10" s="305"/>
    </row>
    <row r="11" spans="2:31">
      <c r="C11" s="290"/>
      <c r="D11" s="290"/>
      <c r="E11" s="290"/>
      <c r="F11" s="290"/>
      <c r="G11" s="290"/>
      <c r="H11" s="290"/>
      <c r="I11" s="290"/>
      <c r="K11" s="309"/>
      <c r="L11" s="309"/>
      <c r="M11" s="309"/>
      <c r="N11" s="309"/>
      <c r="O11" s="309"/>
      <c r="P11" s="115"/>
      <c r="Q11" s="297"/>
      <c r="R11" s="297"/>
      <c r="S11" s="297"/>
      <c r="T11" s="297"/>
      <c r="U11" s="297"/>
      <c r="V11" s="115"/>
      <c r="W11" s="115"/>
      <c r="Y11" s="119"/>
      <c r="Z11" s="119"/>
      <c r="AA11" s="294" t="s">
        <v>430</v>
      </c>
      <c r="AB11" s="294"/>
      <c r="AC11" s="294"/>
      <c r="AD11" s="294"/>
      <c r="AE11" s="294"/>
    </row>
    <row r="12" spans="2:31">
      <c r="K12" s="309"/>
      <c r="L12" s="309"/>
      <c r="M12" s="309"/>
      <c r="N12" s="309"/>
      <c r="O12" s="309"/>
      <c r="P12" s="115"/>
      <c r="Q12" s="297"/>
      <c r="R12" s="297"/>
      <c r="S12" s="297"/>
      <c r="T12" s="297"/>
      <c r="U12" s="297"/>
      <c r="V12" s="115"/>
      <c r="W12" s="115"/>
      <c r="Y12" s="119"/>
      <c r="Z12" s="119"/>
      <c r="AA12" s="297"/>
      <c r="AB12" s="297"/>
      <c r="AC12" s="297"/>
      <c r="AD12" s="297"/>
      <c r="AE12" s="297"/>
    </row>
    <row r="13" spans="2:31">
      <c r="P13" s="115"/>
      <c r="Q13" s="297"/>
      <c r="R13" s="297"/>
      <c r="S13" s="297"/>
      <c r="T13" s="297"/>
      <c r="U13" s="297"/>
      <c r="V13" s="115"/>
      <c r="W13" s="115"/>
      <c r="AA13" s="297"/>
      <c r="AB13" s="297"/>
      <c r="AC13" s="297"/>
      <c r="AD13" s="297"/>
      <c r="AE13" s="297"/>
    </row>
    <row r="14" spans="2:31">
      <c r="P14" s="115"/>
      <c r="Q14" s="297"/>
      <c r="R14" s="297"/>
      <c r="S14" s="297"/>
      <c r="T14" s="297"/>
      <c r="U14" s="297"/>
      <c r="V14" s="115"/>
      <c r="W14" s="115"/>
      <c r="AA14" s="297"/>
      <c r="AB14" s="297"/>
      <c r="AC14" s="297"/>
      <c r="AD14" s="297"/>
      <c r="AE14" s="297"/>
    </row>
    <row r="15" spans="2:31">
      <c r="T15" s="115"/>
      <c r="U15" s="115"/>
      <c r="V15" s="115"/>
      <c r="W15" s="115"/>
      <c r="AA15" s="297"/>
      <c r="AB15" s="297"/>
      <c r="AC15" s="297"/>
      <c r="AD15" s="297"/>
      <c r="AE15" s="297"/>
    </row>
    <row r="16" spans="2:31">
      <c r="B16" s="288" t="s">
        <v>431</v>
      </c>
      <c r="C16" s="290" t="s">
        <v>174</v>
      </c>
      <c r="D16" s="290" t="s">
        <v>432</v>
      </c>
      <c r="E16" s="290"/>
      <c r="F16" s="290"/>
      <c r="G16" s="290"/>
      <c r="H16" s="290"/>
      <c r="I16" s="290"/>
    </row>
    <row r="17" spans="2:28">
      <c r="B17" s="288"/>
      <c r="C17" s="290"/>
      <c r="D17" s="290"/>
      <c r="E17" s="290"/>
      <c r="F17" s="290"/>
      <c r="G17" s="290"/>
      <c r="H17" s="290"/>
      <c r="I17" s="290"/>
      <c r="K17" s="303" t="s">
        <v>433</v>
      </c>
      <c r="L17" s="303"/>
      <c r="M17" s="303"/>
      <c r="N17" s="303"/>
      <c r="O17" s="303"/>
      <c r="P17" s="118"/>
      <c r="Q17" s="118"/>
      <c r="R17" s="118"/>
      <c r="S17" s="302" t="s">
        <v>434</v>
      </c>
      <c r="T17" s="302"/>
      <c r="U17" s="302"/>
      <c r="V17" s="302"/>
      <c r="W17" s="302"/>
    </row>
    <row r="18" spans="2:28" ht="14.25" customHeight="1">
      <c r="B18" s="288">
        <v>1</v>
      </c>
      <c r="C18" s="290" t="s">
        <v>435</v>
      </c>
      <c r="D18" s="309" t="s">
        <v>120</v>
      </c>
      <c r="E18" s="309"/>
      <c r="F18" s="309"/>
      <c r="G18" s="309"/>
      <c r="H18" s="309"/>
      <c r="I18" s="309"/>
      <c r="K18" s="303"/>
      <c r="L18" s="303"/>
      <c r="M18" s="303"/>
      <c r="N18" s="303"/>
      <c r="O18" s="303"/>
      <c r="P18" s="120"/>
      <c r="Q18" s="120"/>
      <c r="R18" s="120"/>
      <c r="S18" s="302"/>
      <c r="T18" s="302"/>
      <c r="U18" s="302"/>
      <c r="V18" s="302"/>
      <c r="W18" s="302"/>
    </row>
    <row r="19" spans="2:28" ht="20.25" customHeight="1">
      <c r="B19" s="288"/>
      <c r="C19" s="290"/>
      <c r="D19" s="309"/>
      <c r="E19" s="309"/>
      <c r="F19" s="309"/>
      <c r="G19" s="309"/>
      <c r="H19" s="309"/>
      <c r="I19" s="309"/>
      <c r="K19" s="297" t="s">
        <v>436</v>
      </c>
      <c r="L19" s="297"/>
      <c r="M19" s="297"/>
      <c r="N19" s="297"/>
      <c r="O19" s="297"/>
      <c r="P19" s="120"/>
      <c r="Q19" s="120"/>
      <c r="R19" s="120"/>
      <c r="S19" s="309" t="s">
        <v>437</v>
      </c>
      <c r="T19" s="309"/>
      <c r="U19" s="309"/>
      <c r="V19" s="309"/>
      <c r="W19" s="309"/>
    </row>
    <row r="20" spans="2:28" ht="30.75" customHeight="1">
      <c r="B20" s="288"/>
      <c r="C20" s="290"/>
      <c r="D20" s="309"/>
      <c r="E20" s="309"/>
      <c r="F20" s="309"/>
      <c r="G20" s="309"/>
      <c r="H20" s="309"/>
      <c r="I20" s="309"/>
      <c r="K20" s="297"/>
      <c r="L20" s="297"/>
      <c r="M20" s="297"/>
      <c r="N20" s="297"/>
      <c r="O20" s="297"/>
      <c r="P20" s="120"/>
      <c r="Q20" s="120"/>
      <c r="R20" s="120"/>
      <c r="S20" s="309"/>
      <c r="T20" s="309"/>
      <c r="U20" s="309"/>
      <c r="V20" s="309"/>
      <c r="W20" s="309"/>
    </row>
    <row r="21" spans="2:28" ht="15">
      <c r="K21" s="297"/>
      <c r="L21" s="297"/>
      <c r="M21" s="297"/>
      <c r="N21" s="297"/>
      <c r="O21" s="297"/>
      <c r="P21" s="120"/>
      <c r="Q21" s="120"/>
      <c r="R21" s="120"/>
      <c r="S21" s="309"/>
      <c r="T21" s="309"/>
      <c r="U21" s="309"/>
      <c r="V21" s="309"/>
      <c r="W21" s="309"/>
      <c r="AB21" s="156" t="s">
        <v>438</v>
      </c>
    </row>
    <row r="22" spans="2:28">
      <c r="N22" s="120"/>
      <c r="O22" s="120"/>
      <c r="P22" s="120"/>
      <c r="Q22" s="120"/>
      <c r="R22" s="120"/>
      <c r="S22" s="120"/>
    </row>
    <row r="23" spans="2:28">
      <c r="N23" s="120"/>
      <c r="O23" s="120"/>
      <c r="P23" s="120"/>
      <c r="Q23" s="120"/>
      <c r="R23" s="120"/>
      <c r="S23" s="120"/>
    </row>
    <row r="24" spans="2:28">
      <c r="N24" s="120"/>
      <c r="O24" s="120"/>
      <c r="P24" s="120"/>
      <c r="Q24" s="120"/>
      <c r="R24" s="120"/>
      <c r="S24" s="120"/>
    </row>
    <row r="25" spans="2:28">
      <c r="N25" s="120"/>
      <c r="O25" s="120"/>
      <c r="P25" s="120"/>
      <c r="Q25" s="120"/>
      <c r="R25" s="120"/>
      <c r="S25" s="120"/>
    </row>
    <row r="30" spans="2:28" ht="23.25" customHeight="1">
      <c r="Q30" s="288" t="s">
        <v>439</v>
      </c>
      <c r="R30" s="288"/>
      <c r="S30" s="288"/>
      <c r="T30" s="288"/>
    </row>
    <row r="31" spans="2:28" ht="51.75" customHeight="1">
      <c r="Q31" s="309" t="s">
        <v>440</v>
      </c>
      <c r="R31" s="309"/>
      <c r="S31" s="309"/>
      <c r="T31" s="309"/>
    </row>
    <row r="32" spans="2:28" ht="14.25" customHeight="1"/>
    <row r="33" spans="10:30" ht="14.25" customHeight="1"/>
    <row r="34" spans="10:30" ht="14.25" customHeight="1">
      <c r="X34" s="317"/>
      <c r="Y34" s="317"/>
      <c r="Z34" s="317"/>
      <c r="AA34" s="317"/>
      <c r="AB34" s="317"/>
      <c r="AC34" s="317"/>
      <c r="AD34" s="317"/>
    </row>
    <row r="35" spans="10:30" ht="14.25" customHeight="1"/>
    <row r="36" spans="10:30" ht="14.25" customHeight="1">
      <c r="J36" s="288" t="s">
        <v>4</v>
      </c>
      <c r="K36" s="290" t="s">
        <v>441</v>
      </c>
      <c r="L36" s="290"/>
      <c r="M36" s="290"/>
      <c r="N36" s="290"/>
      <c r="O36" s="290"/>
    </row>
    <row r="37" spans="10:30">
      <c r="J37" s="288"/>
      <c r="K37" s="290"/>
      <c r="L37" s="290"/>
      <c r="M37" s="290"/>
      <c r="N37" s="290"/>
      <c r="O37" s="290"/>
    </row>
    <row r="38" spans="10:30">
      <c r="J38" s="313" t="s">
        <v>442</v>
      </c>
      <c r="K38" s="321" t="s">
        <v>443</v>
      </c>
      <c r="L38" s="322"/>
      <c r="M38" s="322"/>
      <c r="N38" s="322"/>
      <c r="O38" s="323"/>
    </row>
    <row r="39" spans="10:30">
      <c r="J39" s="316"/>
      <c r="K39" s="324"/>
      <c r="L39" s="325"/>
      <c r="M39" s="325"/>
      <c r="N39" s="325"/>
      <c r="O39" s="326"/>
    </row>
    <row r="40" spans="10:30">
      <c r="J40" s="312" t="s">
        <v>444</v>
      </c>
      <c r="K40" s="327" t="s">
        <v>445</v>
      </c>
      <c r="L40" s="328"/>
      <c r="M40" s="328"/>
      <c r="N40" s="328"/>
      <c r="O40" s="329"/>
    </row>
    <row r="41" spans="10:30" ht="25.5" customHeight="1">
      <c r="J41" s="316"/>
      <c r="K41" s="321"/>
      <c r="L41" s="322"/>
      <c r="M41" s="322"/>
      <c r="N41" s="322"/>
      <c r="O41" s="323"/>
    </row>
    <row r="42" spans="10:30" ht="18">
      <c r="J42" s="318" t="s">
        <v>446</v>
      </c>
      <c r="K42" s="320" t="s">
        <v>447</v>
      </c>
      <c r="L42" s="320"/>
      <c r="M42" s="320"/>
      <c r="N42" s="320"/>
      <c r="O42" s="320"/>
      <c r="S42" s="330" t="s">
        <v>448</v>
      </c>
      <c r="T42" s="330"/>
      <c r="U42" s="330"/>
      <c r="V42" s="330"/>
      <c r="W42" s="330"/>
    </row>
    <row r="43" spans="10:30" ht="15" customHeight="1">
      <c r="J43" s="319"/>
      <c r="K43" s="320"/>
      <c r="L43" s="320"/>
      <c r="M43" s="320"/>
      <c r="N43" s="320"/>
      <c r="O43" s="320"/>
      <c r="S43"/>
    </row>
    <row r="52" spans="3:8" ht="15">
      <c r="C52" s="156" t="s">
        <v>449</v>
      </c>
    </row>
    <row r="57" spans="3:8" ht="15">
      <c r="C57" s="332" t="s">
        <v>450</v>
      </c>
      <c r="D57" s="332"/>
      <c r="E57" s="332"/>
      <c r="F57" s="332"/>
      <c r="G57" s="332"/>
      <c r="H57" s="332"/>
    </row>
  </sheetData>
  <mergeCells count="47">
    <mergeCell ref="C57:H57"/>
    <mergeCell ref="AA2:AE2"/>
    <mergeCell ref="AA3:AE7"/>
    <mergeCell ref="Q9:U9"/>
    <mergeCell ref="Q31:T31"/>
    <mergeCell ref="Q30:T30"/>
    <mergeCell ref="Q2:T2"/>
    <mergeCell ref="Q3:T7"/>
    <mergeCell ref="V2:Y2"/>
    <mergeCell ref="V3:Y4"/>
    <mergeCell ref="AA10:AE10"/>
    <mergeCell ref="AA11:AE15"/>
    <mergeCell ref="S19:W21"/>
    <mergeCell ref="S17:W18"/>
    <mergeCell ref="Q10:U14"/>
    <mergeCell ref="V6:Y6"/>
    <mergeCell ref="K8:O9"/>
    <mergeCell ref="K17:O18"/>
    <mergeCell ref="K19:O21"/>
    <mergeCell ref="K2:O2"/>
    <mergeCell ref="K3:O6"/>
    <mergeCell ref="K10:O12"/>
    <mergeCell ref="C2:I3"/>
    <mergeCell ref="C10:C11"/>
    <mergeCell ref="D10:I11"/>
    <mergeCell ref="D4:I5"/>
    <mergeCell ref="D6:I7"/>
    <mergeCell ref="D8:I9"/>
    <mergeCell ref="C8:C9"/>
    <mergeCell ref="C4:C5"/>
    <mergeCell ref="C6:C7"/>
    <mergeCell ref="X34:AD34"/>
    <mergeCell ref="J42:J43"/>
    <mergeCell ref="K42:O43"/>
    <mergeCell ref="B16:B17"/>
    <mergeCell ref="B18:B20"/>
    <mergeCell ref="D16:I17"/>
    <mergeCell ref="C16:C17"/>
    <mergeCell ref="C18:C20"/>
    <mergeCell ref="D18:I20"/>
    <mergeCell ref="J38:J39"/>
    <mergeCell ref="K38:O39"/>
    <mergeCell ref="J40:J41"/>
    <mergeCell ref="K40:O41"/>
    <mergeCell ref="J36:J37"/>
    <mergeCell ref="K36:O37"/>
    <mergeCell ref="S42:W42"/>
  </mergeCells>
  <hyperlinks>
    <hyperlink ref="K3" r:id="rId1" location="slide=id.g32ffa11429b_0_0" xr:uid="{0B668FC3-3C42-4280-88C3-D896C6CA7B58}"/>
    <hyperlink ref="Q3:T7" r:id="rId2" location="gid=0" display="https://docs.google.com/spreadsheets/d/1el8F9F_drwGbGf_PBYAIebtrcpQTQEVmiLLgTaKMcLw/edit?gid=0#gid=0" xr:uid="{BE8848E8-51D3-4C3A-A139-FC60F30F7DCB}"/>
    <hyperlink ref="V3" r:id="rId3" xr:uid="{59F76AED-4BBB-4EF4-9533-ABF0FA3A8951}"/>
    <hyperlink ref="AA3:AD7" r:id="rId4" location="slide=id.g333feb422b4_0_0" display="https://docs.google.com/presentation/d/1N090PR8h4ohxrlcQZ2YyysIj0B7hjnUpcdXh4FLD4dI/edit#slide=id.g333feb422b4_0_0" xr:uid="{DFBF6BE6-FD92-4CDE-A6F7-95869EA5A99B}"/>
    <hyperlink ref="Q10:U14" r:id="rId5" display="https://docs.google.com/document/d/1hv5I4w-aqr9nNrOgwN9kjNSCSV38ej8vejs1vb-18zM/edit?tab=t.0" xr:uid="{DC005866-BC4B-46B3-B037-FE722E48F89E}"/>
    <hyperlink ref="K3:O6" r:id="rId6" location="slide=id.g32ffa11429b_0_0" display="https://docs.google.com/presentation/d/1t_qMBDZdk1AVXNrkqVlG_MW-Mrc0SIqg9Z_gg5xSotk/edit#slide=id.g32ffa11429b_0_0" xr:uid="{98B0110B-1EEB-4CA6-8A49-06FFB1560A95}"/>
    <hyperlink ref="AA11:AE15" r:id="rId7" display="https://docs.google.com/document/d/10C81LTKJ04D49Ngocp1cJng1SVVinbf81YJbyClCpJc/edit?tab=t.0" xr:uid="{6092BDDC-71A0-4ABC-B7CC-9A66BB173E87}"/>
    <hyperlink ref="K19" r:id="rId8" location="gid=0" xr:uid="{22C5687F-D568-469E-9B4C-46A11D97C4B1}"/>
    <hyperlink ref="K19:O21" r:id="rId9" location="gid=0" display="https://docs.google.com/spreadsheets/d/1u0cUV5j8AR-IG0-JlCl83W4dPyt263MwgSxdfHJtffw/edit?gid=0#gid=0" xr:uid="{BE525CD2-6AAC-49BE-81E5-47767E41FCB4}"/>
    <hyperlink ref="K10:O12" r:id="rId10" location="slide=id.p" display="https://docs.google.com/presentation/d/1PQX56H_HUfFDqHa27oy049LiFkL3S6q-CNjCcG6JxCA/edit#slide=id.p" xr:uid="{19888853-FB20-4916-B0C1-3527DA0465C0}"/>
    <hyperlink ref="Q31" r:id="rId11" xr:uid="{CA3D80AA-C1F3-4578-AF23-8F383DE30BEC}"/>
    <hyperlink ref="K40:O41" r:id="rId12" location="slide=id.p" display="https://docs.google.com/presentation/d/1QxSNZI9GLxMcyfGm_h5IkoEgofIVnQCKPMMQQtBhXtM/edit?slide=id.p#slide=id.p" xr:uid="{6CDEBED3-DF46-4ECF-8ACA-E484A5EDE26D}"/>
    <hyperlink ref="K38:O39" r:id="rId13" location="slide=id.g35e26c3546c_0_145" display="https://docs.google.com/presentation/d/1g6HMOIAsoDKF__B_3xp6h1k868-f530m_H0eKDUXWU8/edit?slide=id.g35e26c3546c_0_145#slide=id.g35e26c3546c_0_145" xr:uid="{E6C1A380-5CBA-499F-8C54-60754BE02961}"/>
    <hyperlink ref="S19:W21" r:id="rId14" display="https://docs.google.com/document/d/1Di8pQnHAY5dXEC6NGgaAtChik9ny1mJkrBoQQIfob_s/edit?tab=t.0" xr:uid="{D5065728-73C5-4324-9FA8-7313EEDB6728}"/>
    <hyperlink ref="AB21" r:id="rId15" xr:uid="{362A284B-ABFA-4CF0-BE12-97C30C45EC7E}"/>
    <hyperlink ref="C52" r:id="rId16" xr:uid="{20B2E883-CDBC-48D7-8D33-BF3D0546F9F9}"/>
    <hyperlink ref="C57" r:id="rId17" xr:uid="{E5EA7E04-F58D-41C9-9FA3-85BDEF3FB619}"/>
  </hyperlinks>
  <pageMargins left="0.7" right="0.7" top="0.75" bottom="0.75" header="0.3" footer="0.3"/>
  <drawing r:id="rId1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BD663-0259-4D17-9CA7-EF7105B0E223}">
  <dimension ref="B1:AO23"/>
  <sheetViews>
    <sheetView showGridLines="0" workbookViewId="0">
      <selection activeCell="N3" sqref="N3:N6"/>
    </sheetView>
  </sheetViews>
  <sheetFormatPr defaultColWidth="9.140625" defaultRowHeight="15"/>
  <cols>
    <col min="14" max="14" width="14" customWidth="1"/>
    <col min="15" max="15" width="14.140625" customWidth="1"/>
    <col min="16" max="16" width="19.28515625" customWidth="1"/>
    <col min="17" max="17" width="11.140625" customWidth="1"/>
    <col min="19" max="25" width="0" hidden="1" customWidth="1"/>
  </cols>
  <sheetData>
    <row r="1" spans="2:41" ht="15" customHeight="1">
      <c r="B1" s="350" t="s">
        <v>172</v>
      </c>
      <c r="C1" s="351" t="s">
        <v>451</v>
      </c>
      <c r="D1" s="353" t="s">
        <v>452</v>
      </c>
      <c r="E1" s="353"/>
      <c r="F1" s="353"/>
      <c r="G1" s="353"/>
      <c r="H1" s="353"/>
      <c r="I1" s="353"/>
      <c r="J1" s="353"/>
      <c r="K1" s="353"/>
      <c r="L1" s="353"/>
      <c r="M1" s="353"/>
      <c r="N1" s="354" t="s">
        <v>453</v>
      </c>
      <c r="O1" s="350" t="s">
        <v>1</v>
      </c>
      <c r="P1" s="351" t="s">
        <v>454</v>
      </c>
      <c r="Q1" s="350" t="s">
        <v>455</v>
      </c>
      <c r="R1" s="9"/>
      <c r="S1" s="9"/>
      <c r="T1" s="9"/>
      <c r="U1" s="9"/>
      <c r="V1" s="9"/>
      <c r="W1" s="9"/>
      <c r="X1" s="9"/>
      <c r="Y1" s="9"/>
      <c r="Z1" s="10"/>
      <c r="AA1" s="10"/>
      <c r="AB1" s="10"/>
      <c r="AC1" s="10"/>
      <c r="AD1" s="10"/>
      <c r="AE1" s="10"/>
      <c r="AF1" s="10"/>
      <c r="AG1" s="10"/>
      <c r="AH1" s="10"/>
      <c r="AI1" s="10"/>
      <c r="AJ1" s="10"/>
      <c r="AK1" s="10"/>
      <c r="AL1" s="10"/>
      <c r="AM1" s="10"/>
      <c r="AN1" s="10"/>
      <c r="AO1" s="10"/>
    </row>
    <row r="2" spans="2:41" ht="15" customHeight="1">
      <c r="B2" s="350"/>
      <c r="C2" s="350"/>
      <c r="D2" s="353"/>
      <c r="E2" s="353"/>
      <c r="F2" s="353"/>
      <c r="G2" s="353"/>
      <c r="H2" s="353"/>
      <c r="I2" s="353"/>
      <c r="J2" s="353"/>
      <c r="K2" s="353"/>
      <c r="L2" s="353"/>
      <c r="M2" s="353"/>
      <c r="N2" s="354"/>
      <c r="O2" s="350"/>
      <c r="P2" s="351"/>
      <c r="Q2" s="350"/>
      <c r="R2" s="9"/>
      <c r="S2" s="9"/>
      <c r="T2" s="9"/>
      <c r="U2" s="9"/>
      <c r="V2" s="9"/>
      <c r="W2" s="9"/>
      <c r="X2" s="9"/>
      <c r="Y2" s="9"/>
      <c r="Z2" s="10"/>
      <c r="AA2" s="10"/>
      <c r="AB2" s="10"/>
      <c r="AC2" s="10"/>
      <c r="AD2" s="10"/>
      <c r="AE2" s="10"/>
      <c r="AF2" s="10"/>
      <c r="AG2" s="10"/>
      <c r="AH2" s="10"/>
      <c r="AI2" s="10"/>
      <c r="AJ2" s="10"/>
      <c r="AK2" s="10"/>
      <c r="AL2" s="10"/>
      <c r="AM2" s="10"/>
      <c r="AN2" s="10"/>
      <c r="AO2" s="10"/>
    </row>
    <row r="3" spans="2:41" ht="15" customHeight="1">
      <c r="B3" s="290">
        <v>1</v>
      </c>
      <c r="C3" s="331" t="s">
        <v>456</v>
      </c>
      <c r="D3" s="310" t="s">
        <v>457</v>
      </c>
      <c r="E3" s="310"/>
      <c r="F3" s="310"/>
      <c r="G3" s="310"/>
      <c r="H3" s="310"/>
      <c r="I3" s="310"/>
      <c r="J3" s="310"/>
      <c r="K3" s="310"/>
      <c r="L3" s="310"/>
      <c r="M3" s="310"/>
      <c r="N3" s="312" t="s">
        <v>458</v>
      </c>
      <c r="O3" s="352">
        <v>45674</v>
      </c>
      <c r="P3" s="312" t="s">
        <v>459</v>
      </c>
      <c r="Q3" s="312" t="s">
        <v>460</v>
      </c>
      <c r="R3" s="4"/>
      <c r="S3" s="4"/>
      <c r="T3" s="4"/>
      <c r="U3" s="4"/>
      <c r="V3" s="4"/>
      <c r="W3" s="4"/>
      <c r="X3" s="4"/>
      <c r="Y3" s="3"/>
      <c r="Z3" s="4"/>
      <c r="AA3" s="4"/>
      <c r="AB3" s="4"/>
      <c r="AC3" s="4"/>
      <c r="AD3" s="4"/>
      <c r="AE3" s="4"/>
      <c r="AF3" s="4"/>
      <c r="AG3" s="4"/>
      <c r="AH3" s="4"/>
      <c r="AI3" s="4"/>
      <c r="AJ3" s="3"/>
      <c r="AK3" s="3"/>
      <c r="AL3" s="3"/>
      <c r="AM3" s="3"/>
      <c r="AN3" s="3"/>
      <c r="AO3" s="3"/>
    </row>
    <row r="4" spans="2:41" ht="15" customHeight="1">
      <c r="B4" s="290"/>
      <c r="C4" s="310"/>
      <c r="D4" s="310"/>
      <c r="E4" s="310"/>
      <c r="F4" s="310"/>
      <c r="G4" s="310"/>
      <c r="H4" s="310"/>
      <c r="I4" s="310"/>
      <c r="J4" s="310"/>
      <c r="K4" s="310"/>
      <c r="L4" s="310"/>
      <c r="M4" s="310"/>
      <c r="N4" s="313"/>
      <c r="O4" s="313"/>
      <c r="P4" s="313"/>
      <c r="Q4" s="313"/>
      <c r="R4" s="4"/>
      <c r="S4" s="4"/>
      <c r="T4" s="4"/>
      <c r="U4" s="4"/>
      <c r="V4" s="4"/>
      <c r="W4" s="4"/>
      <c r="X4" s="4"/>
      <c r="Y4" s="3"/>
      <c r="Z4" s="4"/>
      <c r="AA4" s="4"/>
      <c r="AB4" s="4"/>
      <c r="AC4" s="4"/>
      <c r="AD4" s="4"/>
      <c r="AE4" s="4"/>
      <c r="AF4" s="4"/>
      <c r="AG4" s="4"/>
      <c r="AH4" s="4"/>
      <c r="AI4" s="4"/>
      <c r="AJ4" s="3"/>
      <c r="AK4" s="3"/>
      <c r="AL4" s="3"/>
      <c r="AM4" s="3"/>
      <c r="AN4" s="3"/>
      <c r="AO4" s="3"/>
    </row>
    <row r="5" spans="2:41" ht="15" customHeight="1">
      <c r="B5" s="290"/>
      <c r="C5" s="310"/>
      <c r="D5" s="310"/>
      <c r="E5" s="310"/>
      <c r="F5" s="310"/>
      <c r="G5" s="310"/>
      <c r="H5" s="310"/>
      <c r="I5" s="310"/>
      <c r="J5" s="310"/>
      <c r="K5" s="310"/>
      <c r="L5" s="310"/>
      <c r="M5" s="310"/>
      <c r="N5" s="313"/>
      <c r="O5" s="313"/>
      <c r="P5" s="313"/>
      <c r="Q5" s="313"/>
      <c r="R5" s="4"/>
      <c r="S5" s="4"/>
      <c r="T5" s="4"/>
      <c r="U5" s="4"/>
      <c r="V5" s="4"/>
      <c r="W5" s="4"/>
      <c r="X5" s="4"/>
      <c r="Y5" s="3"/>
      <c r="Z5" s="4"/>
      <c r="AA5" s="4"/>
      <c r="AB5" s="4"/>
      <c r="AC5" s="4"/>
      <c r="AD5" s="4"/>
      <c r="AE5" s="4"/>
      <c r="AF5" s="4"/>
      <c r="AG5" s="4"/>
      <c r="AH5" s="4"/>
      <c r="AI5" s="4"/>
      <c r="AJ5" s="3"/>
      <c r="AK5" s="3"/>
      <c r="AL5" s="3"/>
      <c r="AM5" s="3"/>
      <c r="AN5" s="3"/>
      <c r="AO5" s="3"/>
    </row>
    <row r="6" spans="2:41" ht="15" customHeight="1">
      <c r="B6" s="290"/>
      <c r="C6" s="310"/>
      <c r="D6" s="310"/>
      <c r="E6" s="310"/>
      <c r="F6" s="310"/>
      <c r="G6" s="310"/>
      <c r="H6" s="310"/>
      <c r="I6" s="310"/>
      <c r="J6" s="310"/>
      <c r="K6" s="310"/>
      <c r="L6" s="310"/>
      <c r="M6" s="310"/>
      <c r="N6" s="316"/>
      <c r="O6" s="316"/>
      <c r="P6" s="316"/>
      <c r="Q6" s="316"/>
      <c r="R6" s="4"/>
      <c r="S6" s="4"/>
      <c r="T6" s="4"/>
      <c r="U6" s="4"/>
      <c r="V6" s="4"/>
      <c r="W6" s="4"/>
      <c r="X6" s="4"/>
      <c r="Y6" s="3"/>
      <c r="Z6" s="4"/>
      <c r="AA6" s="4"/>
      <c r="AB6" s="4"/>
      <c r="AC6" s="4"/>
      <c r="AD6" s="4"/>
      <c r="AE6" s="4"/>
      <c r="AF6" s="4"/>
      <c r="AG6" s="4"/>
      <c r="AH6" s="4"/>
      <c r="AI6" s="4"/>
      <c r="AJ6" s="3"/>
      <c r="AK6" s="3"/>
      <c r="AL6" s="3"/>
      <c r="AM6" s="3"/>
      <c r="AN6" s="3"/>
      <c r="AO6" s="3"/>
    </row>
    <row r="7" spans="2:41" ht="15" customHeight="1">
      <c r="B7" s="290">
        <v>2</v>
      </c>
      <c r="C7" s="331" t="s">
        <v>456</v>
      </c>
      <c r="D7" s="310" t="s">
        <v>461</v>
      </c>
      <c r="E7" s="310"/>
      <c r="F7" s="310"/>
      <c r="G7" s="310"/>
      <c r="H7" s="310"/>
      <c r="I7" s="310"/>
      <c r="J7" s="310"/>
      <c r="K7" s="310"/>
      <c r="L7" s="310"/>
      <c r="M7" s="310"/>
      <c r="N7" s="312" t="s">
        <v>458</v>
      </c>
      <c r="O7" s="352">
        <v>45692</v>
      </c>
      <c r="P7" s="312" t="s">
        <v>459</v>
      </c>
      <c r="Q7" s="312" t="s">
        <v>460</v>
      </c>
      <c r="R7" s="4"/>
      <c r="S7" s="4"/>
      <c r="T7" s="4"/>
      <c r="U7" s="4"/>
      <c r="V7" s="4"/>
      <c r="W7" s="4"/>
      <c r="X7" s="4"/>
      <c r="Y7" s="3"/>
      <c r="Z7" s="4"/>
      <c r="AA7" s="4"/>
      <c r="AB7" s="4"/>
      <c r="AC7" s="4"/>
      <c r="AD7" s="4"/>
      <c r="AE7" s="4"/>
      <c r="AF7" s="4"/>
      <c r="AG7" s="4"/>
      <c r="AH7" s="4"/>
      <c r="AI7" s="4"/>
      <c r="AJ7" s="3"/>
      <c r="AK7" s="3"/>
      <c r="AL7" s="3"/>
      <c r="AM7" s="3"/>
      <c r="AN7" s="3"/>
      <c r="AO7" s="3"/>
    </row>
    <row r="8" spans="2:41" ht="15" customHeight="1">
      <c r="B8" s="290"/>
      <c r="C8" s="310"/>
      <c r="D8" s="310"/>
      <c r="E8" s="310"/>
      <c r="F8" s="310"/>
      <c r="G8" s="310"/>
      <c r="H8" s="310"/>
      <c r="I8" s="310"/>
      <c r="J8" s="310"/>
      <c r="K8" s="310"/>
      <c r="L8" s="310"/>
      <c r="M8" s="310"/>
      <c r="N8" s="313"/>
      <c r="O8" s="313"/>
      <c r="P8" s="313"/>
      <c r="Q8" s="313"/>
      <c r="R8" s="4"/>
      <c r="S8" s="4"/>
      <c r="T8" s="4"/>
      <c r="U8" s="4"/>
      <c r="V8" s="4"/>
      <c r="W8" s="4"/>
      <c r="X8" s="4"/>
      <c r="Y8" s="3"/>
      <c r="Z8" s="4"/>
      <c r="AA8" s="4"/>
      <c r="AB8" s="4"/>
      <c r="AC8" s="4"/>
      <c r="AD8" s="4"/>
      <c r="AE8" s="4"/>
      <c r="AF8" s="4"/>
      <c r="AG8" s="4"/>
      <c r="AH8" s="4"/>
      <c r="AI8" s="4"/>
      <c r="AJ8" s="3"/>
      <c r="AK8" s="3"/>
      <c r="AL8" s="3"/>
      <c r="AM8" s="3"/>
      <c r="AN8" s="3"/>
      <c r="AO8" s="3"/>
    </row>
    <row r="9" spans="2:41" ht="15" customHeight="1">
      <c r="B9" s="290"/>
      <c r="C9" s="310"/>
      <c r="D9" s="310"/>
      <c r="E9" s="310"/>
      <c r="F9" s="310"/>
      <c r="G9" s="310"/>
      <c r="H9" s="310"/>
      <c r="I9" s="310"/>
      <c r="J9" s="310"/>
      <c r="K9" s="310"/>
      <c r="L9" s="310"/>
      <c r="M9" s="310"/>
      <c r="N9" s="313"/>
      <c r="O9" s="313"/>
      <c r="P9" s="313"/>
      <c r="Q9" s="313"/>
      <c r="R9" s="4"/>
      <c r="S9" s="4"/>
      <c r="T9" s="4"/>
      <c r="U9" s="4"/>
      <c r="V9" s="4"/>
      <c r="W9" s="4"/>
      <c r="X9" s="4"/>
      <c r="Y9" s="3"/>
      <c r="Z9" s="4"/>
      <c r="AA9" s="4"/>
      <c r="AB9" s="4"/>
      <c r="AC9" s="4"/>
      <c r="AD9" s="4"/>
      <c r="AE9" s="4"/>
      <c r="AF9" s="4"/>
      <c r="AG9" s="4"/>
      <c r="AH9" s="4"/>
      <c r="AI9" s="4"/>
      <c r="AJ9" s="3"/>
      <c r="AK9" s="3"/>
      <c r="AL9" s="3"/>
      <c r="AM9" s="3"/>
      <c r="AN9" s="3"/>
      <c r="AO9" s="3"/>
    </row>
    <row r="10" spans="2:41" ht="15" customHeight="1">
      <c r="B10" s="290"/>
      <c r="C10" s="310"/>
      <c r="D10" s="310"/>
      <c r="E10" s="310"/>
      <c r="F10" s="310"/>
      <c r="G10" s="310"/>
      <c r="H10" s="310"/>
      <c r="I10" s="310"/>
      <c r="J10" s="310"/>
      <c r="K10" s="310"/>
      <c r="L10" s="310"/>
      <c r="M10" s="310"/>
      <c r="N10" s="316"/>
      <c r="O10" s="316"/>
      <c r="P10" s="316"/>
      <c r="Q10" s="316"/>
      <c r="R10" s="4"/>
      <c r="S10" s="4"/>
      <c r="T10" s="4"/>
      <c r="U10" s="4"/>
      <c r="V10" s="4"/>
      <c r="W10" s="4"/>
      <c r="X10" s="4"/>
      <c r="Y10" s="3"/>
      <c r="Z10" s="4"/>
      <c r="AA10" s="4"/>
      <c r="AB10" s="4"/>
      <c r="AC10" s="4"/>
      <c r="AD10" s="4"/>
      <c r="AE10" s="4"/>
      <c r="AF10" s="4"/>
      <c r="AG10" s="4"/>
      <c r="AH10" s="4"/>
      <c r="AI10" s="4"/>
      <c r="AJ10" s="3"/>
      <c r="AK10" s="3"/>
      <c r="AL10" s="3"/>
      <c r="AM10" s="3"/>
      <c r="AN10" s="3"/>
      <c r="AO10" s="3"/>
    </row>
    <row r="11" spans="2:41" ht="15" customHeight="1">
      <c r="B11" s="290">
        <v>3</v>
      </c>
      <c r="C11" s="331" t="s">
        <v>456</v>
      </c>
      <c r="D11" s="310" t="s">
        <v>462</v>
      </c>
      <c r="E11" s="310"/>
      <c r="F11" s="310"/>
      <c r="G11" s="310"/>
      <c r="H11" s="310"/>
      <c r="I11" s="310"/>
      <c r="J11" s="310"/>
      <c r="K11" s="310"/>
      <c r="L11" s="310"/>
      <c r="M11" s="310"/>
      <c r="N11" s="312" t="s">
        <v>463</v>
      </c>
      <c r="O11" s="312" t="s">
        <v>11</v>
      </c>
      <c r="P11" s="312" t="s">
        <v>11</v>
      </c>
      <c r="Q11" s="312" t="s">
        <v>11</v>
      </c>
      <c r="R11" s="4"/>
      <c r="S11" s="4"/>
      <c r="T11" s="4"/>
      <c r="U11" s="4"/>
      <c r="V11" s="4"/>
      <c r="W11" s="4"/>
      <c r="X11" s="4"/>
      <c r="Y11" s="3"/>
      <c r="Z11" s="4"/>
      <c r="AA11" s="4"/>
      <c r="AB11" s="4"/>
      <c r="AC11" s="4"/>
      <c r="AD11" s="4"/>
      <c r="AE11" s="4"/>
      <c r="AF11" s="4"/>
      <c r="AG11" s="4"/>
      <c r="AH11" s="4"/>
      <c r="AI11" s="4"/>
      <c r="AJ11" s="3"/>
      <c r="AK11" s="3"/>
      <c r="AL11" s="3"/>
      <c r="AM11" s="3"/>
      <c r="AN11" s="3"/>
      <c r="AO11" s="3"/>
    </row>
    <row r="12" spans="2:41" ht="15" customHeight="1">
      <c r="B12" s="290"/>
      <c r="C12" s="310"/>
      <c r="D12" s="310"/>
      <c r="E12" s="310"/>
      <c r="F12" s="310"/>
      <c r="G12" s="310"/>
      <c r="H12" s="310"/>
      <c r="I12" s="310"/>
      <c r="J12" s="310"/>
      <c r="K12" s="310"/>
      <c r="L12" s="310"/>
      <c r="M12" s="310"/>
      <c r="N12" s="313"/>
      <c r="O12" s="313"/>
      <c r="P12" s="313"/>
      <c r="Q12" s="313"/>
      <c r="R12" s="4"/>
      <c r="S12" s="4"/>
      <c r="T12" s="4"/>
      <c r="U12" s="4"/>
      <c r="V12" s="4"/>
      <c r="W12" s="4"/>
      <c r="X12" s="4"/>
      <c r="Y12" s="3"/>
      <c r="Z12" s="4"/>
      <c r="AA12" s="4"/>
      <c r="AB12" s="4"/>
      <c r="AC12" s="4"/>
      <c r="AD12" s="4"/>
      <c r="AE12" s="4"/>
      <c r="AF12" s="4"/>
      <c r="AG12" s="4"/>
      <c r="AH12" s="4"/>
      <c r="AI12" s="4"/>
      <c r="AJ12" s="3"/>
      <c r="AK12" s="3"/>
      <c r="AL12" s="3"/>
      <c r="AM12" s="3"/>
      <c r="AN12" s="3"/>
      <c r="AO12" s="3"/>
    </row>
    <row r="13" spans="2:41" ht="15" customHeight="1">
      <c r="B13" s="290"/>
      <c r="C13" s="310"/>
      <c r="D13" s="310"/>
      <c r="E13" s="310"/>
      <c r="F13" s="310"/>
      <c r="G13" s="310"/>
      <c r="H13" s="310"/>
      <c r="I13" s="310"/>
      <c r="J13" s="310"/>
      <c r="K13" s="310"/>
      <c r="L13" s="310"/>
      <c r="M13" s="310"/>
      <c r="N13" s="313"/>
      <c r="O13" s="313"/>
      <c r="P13" s="313"/>
      <c r="Q13" s="313"/>
      <c r="R13" s="4"/>
      <c r="S13" s="4"/>
      <c r="T13" s="4"/>
      <c r="U13" s="4"/>
      <c r="V13" s="4"/>
      <c r="W13" s="4"/>
      <c r="X13" s="4"/>
      <c r="Y13" s="3"/>
      <c r="Z13" s="4"/>
      <c r="AA13" s="4"/>
      <c r="AB13" s="4"/>
      <c r="AC13" s="4"/>
      <c r="AD13" s="4"/>
      <c r="AE13" s="4"/>
      <c r="AF13" s="4"/>
      <c r="AG13" s="4"/>
      <c r="AH13" s="4"/>
      <c r="AI13" s="4"/>
      <c r="AJ13" s="3"/>
      <c r="AK13" s="3"/>
      <c r="AL13" s="3"/>
      <c r="AM13" s="3"/>
      <c r="AN13" s="3"/>
      <c r="AO13" s="3"/>
    </row>
    <row r="14" spans="2:41" ht="15" customHeight="1">
      <c r="B14" s="290"/>
      <c r="C14" s="310"/>
      <c r="D14" s="310"/>
      <c r="E14" s="310"/>
      <c r="F14" s="310"/>
      <c r="G14" s="310"/>
      <c r="H14" s="310"/>
      <c r="I14" s="310"/>
      <c r="J14" s="310"/>
      <c r="K14" s="310"/>
      <c r="L14" s="310"/>
      <c r="M14" s="310"/>
      <c r="N14" s="316"/>
      <c r="O14" s="316"/>
      <c r="P14" s="316"/>
      <c r="Q14" s="316"/>
      <c r="R14" s="4"/>
      <c r="S14" s="4"/>
      <c r="T14" s="4"/>
      <c r="U14" s="4"/>
      <c r="V14" s="4"/>
      <c r="W14" s="4"/>
      <c r="X14" s="4"/>
      <c r="Y14" s="3"/>
      <c r="Z14" s="4"/>
      <c r="AA14" s="4"/>
      <c r="AB14" s="4"/>
      <c r="AC14" s="4"/>
      <c r="AD14" s="4"/>
      <c r="AE14" s="4"/>
      <c r="AF14" s="4"/>
      <c r="AG14" s="4"/>
      <c r="AH14" s="4"/>
      <c r="AI14" s="4"/>
      <c r="AJ14" s="3"/>
      <c r="AK14" s="3"/>
      <c r="AL14" s="3"/>
      <c r="AM14" s="3"/>
      <c r="AN14" s="3"/>
      <c r="AO14" s="3"/>
    </row>
    <row r="15" spans="2:41" ht="15" customHeight="1">
      <c r="B15" s="290">
        <v>4</v>
      </c>
      <c r="C15" s="331" t="s">
        <v>456</v>
      </c>
      <c r="D15" s="310" t="s">
        <v>464</v>
      </c>
      <c r="E15" s="310"/>
      <c r="F15" s="310"/>
      <c r="G15" s="310"/>
      <c r="H15" s="310"/>
      <c r="I15" s="310"/>
      <c r="J15" s="310"/>
      <c r="K15" s="310"/>
      <c r="L15" s="310"/>
      <c r="M15" s="310"/>
      <c r="N15" s="312" t="s">
        <v>463</v>
      </c>
      <c r="O15" s="312" t="s">
        <v>11</v>
      </c>
      <c r="P15" s="312" t="s">
        <v>11</v>
      </c>
      <c r="Q15" s="312" t="s">
        <v>11</v>
      </c>
    </row>
    <row r="16" spans="2:41" ht="15" customHeight="1">
      <c r="B16" s="290"/>
      <c r="C16" s="310"/>
      <c r="D16" s="310"/>
      <c r="E16" s="310"/>
      <c r="F16" s="310"/>
      <c r="G16" s="310"/>
      <c r="H16" s="310"/>
      <c r="I16" s="310"/>
      <c r="J16" s="310"/>
      <c r="K16" s="310"/>
      <c r="L16" s="310"/>
      <c r="M16" s="310"/>
      <c r="N16" s="313"/>
      <c r="O16" s="313"/>
      <c r="P16" s="313"/>
      <c r="Q16" s="313"/>
    </row>
    <row r="17" spans="2:17" ht="15" customHeight="1">
      <c r="B17" s="290"/>
      <c r="C17" s="310"/>
      <c r="D17" s="310"/>
      <c r="E17" s="310"/>
      <c r="F17" s="310"/>
      <c r="G17" s="310"/>
      <c r="H17" s="310"/>
      <c r="I17" s="310"/>
      <c r="J17" s="310"/>
      <c r="K17" s="310"/>
      <c r="L17" s="310"/>
      <c r="M17" s="310"/>
      <c r="N17" s="313"/>
      <c r="O17" s="313"/>
      <c r="P17" s="313"/>
      <c r="Q17" s="313"/>
    </row>
    <row r="18" spans="2:17" ht="15" customHeight="1">
      <c r="B18" s="290"/>
      <c r="C18" s="310"/>
      <c r="D18" s="310"/>
      <c r="E18" s="310"/>
      <c r="F18" s="310"/>
      <c r="G18" s="310"/>
      <c r="H18" s="310"/>
      <c r="I18" s="310"/>
      <c r="J18" s="310"/>
      <c r="K18" s="310"/>
      <c r="L18" s="310"/>
      <c r="M18" s="310"/>
      <c r="N18" s="316"/>
      <c r="O18" s="316"/>
      <c r="P18" s="316"/>
      <c r="Q18" s="316"/>
    </row>
    <row r="20" spans="2:17" ht="15" customHeight="1"/>
    <row r="21" spans="2:17" ht="15" customHeight="1"/>
    <row r="22" spans="2:17" ht="15" customHeight="1"/>
    <row r="23" spans="2:17" ht="15" customHeight="1"/>
  </sheetData>
  <mergeCells count="35">
    <mergeCell ref="Q15:Q18"/>
    <mergeCell ref="Q7:Q10"/>
    <mergeCell ref="Q11:Q14"/>
    <mergeCell ref="O15:O18"/>
    <mergeCell ref="P7:P10"/>
    <mergeCell ref="P11:P14"/>
    <mergeCell ref="P15:P18"/>
    <mergeCell ref="O7:O10"/>
    <mergeCell ref="O11:O14"/>
    <mergeCell ref="N15:N18"/>
    <mergeCell ref="B1:B2"/>
    <mergeCell ref="D1:M2"/>
    <mergeCell ref="B3:B6"/>
    <mergeCell ref="C1:C2"/>
    <mergeCell ref="C3:C6"/>
    <mergeCell ref="B15:B18"/>
    <mergeCell ref="B7:B10"/>
    <mergeCell ref="D7:M10"/>
    <mergeCell ref="B11:B14"/>
    <mergeCell ref="D11:M14"/>
    <mergeCell ref="C7:C10"/>
    <mergeCell ref="C11:C14"/>
    <mergeCell ref="C15:C18"/>
    <mergeCell ref="D15:M18"/>
    <mergeCell ref="N1:N2"/>
    <mergeCell ref="D3:M6"/>
    <mergeCell ref="N3:N6"/>
    <mergeCell ref="O3:O6"/>
    <mergeCell ref="P3:P6"/>
    <mergeCell ref="Q3:Q6"/>
    <mergeCell ref="N7:N10"/>
    <mergeCell ref="N11:N14"/>
    <mergeCell ref="O1:O2"/>
    <mergeCell ref="P1:P2"/>
    <mergeCell ref="Q1:Q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5DEC9-BB26-4C2D-A708-4FABC269734F}">
  <dimension ref="B2:R21"/>
  <sheetViews>
    <sheetView showGridLines="0" workbookViewId="0">
      <selection activeCell="C12" sqref="C12:D12"/>
    </sheetView>
  </sheetViews>
  <sheetFormatPr defaultRowHeight="15"/>
  <cols>
    <col min="2" max="2" width="8.5703125" customWidth="1"/>
    <col min="3" max="3" width="20.140625" customWidth="1"/>
    <col min="4" max="4" width="19.85546875" customWidth="1"/>
    <col min="5" max="5" width="13.85546875" customWidth="1"/>
    <col min="6" max="6" width="29" customWidth="1"/>
    <col min="9" max="9" width="14.140625" customWidth="1"/>
    <col min="10" max="10" width="13.7109375" customWidth="1"/>
    <col min="11" max="11" width="31.140625" customWidth="1"/>
    <col min="12" max="12" width="15.140625" customWidth="1"/>
    <col min="13" max="13" width="14.85546875" customWidth="1"/>
    <col min="14" max="14" width="16.5703125" customWidth="1"/>
    <col min="15" max="15" width="94.7109375" bestFit="1" customWidth="1"/>
  </cols>
  <sheetData>
    <row r="2" spans="2:18" ht="15.75" customHeight="1">
      <c r="B2" s="5" t="s">
        <v>465</v>
      </c>
      <c r="C2" s="359" t="s">
        <v>466</v>
      </c>
      <c r="D2" s="359"/>
      <c r="E2" s="359" t="s">
        <v>467</v>
      </c>
      <c r="F2" s="359"/>
      <c r="G2" s="359" t="s">
        <v>468</v>
      </c>
      <c r="H2" s="360"/>
      <c r="I2" s="359" t="s">
        <v>469</v>
      </c>
      <c r="J2" s="359"/>
      <c r="K2" s="11"/>
      <c r="O2" s="355" t="s">
        <v>470</v>
      </c>
      <c r="P2" s="355"/>
      <c r="Q2" s="355"/>
      <c r="R2" s="355"/>
    </row>
    <row r="3" spans="2:18" ht="15" customHeight="1">
      <c r="B3" s="2">
        <v>1</v>
      </c>
      <c r="C3" s="288" t="s">
        <v>471</v>
      </c>
      <c r="D3" s="288"/>
      <c r="E3" s="288" t="s">
        <v>472</v>
      </c>
      <c r="F3" s="288"/>
      <c r="G3" s="288" t="s">
        <v>473</v>
      </c>
      <c r="H3" s="288"/>
      <c r="I3" s="288" t="s">
        <v>473</v>
      </c>
      <c r="J3" s="288"/>
      <c r="K3" s="81" t="s">
        <v>474</v>
      </c>
      <c r="O3" s="356" t="s">
        <v>475</v>
      </c>
      <c r="P3" s="356"/>
      <c r="Q3" s="356"/>
      <c r="R3" s="356"/>
    </row>
    <row r="4" spans="2:18" ht="29.25">
      <c r="B4" s="1">
        <v>2</v>
      </c>
      <c r="C4" s="288" t="s">
        <v>476</v>
      </c>
      <c r="D4" s="288"/>
      <c r="E4" s="288" t="s">
        <v>472</v>
      </c>
      <c r="F4" s="288"/>
      <c r="G4" s="288" t="s">
        <v>473</v>
      </c>
      <c r="H4" s="288"/>
      <c r="I4" s="288" t="s">
        <v>473</v>
      </c>
      <c r="J4" s="288"/>
      <c r="K4" s="81" t="s">
        <v>477</v>
      </c>
      <c r="O4" s="356"/>
      <c r="P4" s="356"/>
      <c r="Q4" s="356"/>
      <c r="R4" s="356"/>
    </row>
    <row r="5" spans="2:18">
      <c r="B5" s="1">
        <v>3</v>
      </c>
      <c r="C5" s="288" t="s">
        <v>478</v>
      </c>
      <c r="D5" s="288"/>
      <c r="E5" s="288" t="s">
        <v>472</v>
      </c>
      <c r="F5" s="288"/>
      <c r="G5" s="316" t="s">
        <v>479</v>
      </c>
      <c r="H5" s="316"/>
      <c r="I5" s="316" t="s">
        <v>479</v>
      </c>
      <c r="J5" s="316"/>
      <c r="O5" s="356"/>
      <c r="P5" s="356"/>
      <c r="Q5" s="356"/>
      <c r="R5" s="356"/>
    </row>
    <row r="6" spans="2:18">
      <c r="B6" s="1">
        <v>4</v>
      </c>
      <c r="C6" s="288" t="s">
        <v>480</v>
      </c>
      <c r="D6" s="288"/>
      <c r="E6" s="288" t="s">
        <v>472</v>
      </c>
      <c r="F6" s="288"/>
      <c r="G6" s="288" t="s">
        <v>479</v>
      </c>
      <c r="H6" s="288"/>
      <c r="I6" s="288" t="s">
        <v>479</v>
      </c>
      <c r="J6" s="288"/>
      <c r="O6" s="356"/>
      <c r="P6" s="356"/>
      <c r="Q6" s="356"/>
      <c r="R6" s="356"/>
    </row>
    <row r="7" spans="2:18">
      <c r="B7" s="1">
        <v>5</v>
      </c>
      <c r="C7" s="288" t="s">
        <v>481</v>
      </c>
      <c r="D7" s="288"/>
      <c r="E7" s="288" t="s">
        <v>472</v>
      </c>
      <c r="F7" s="288"/>
      <c r="G7" s="288" t="s">
        <v>479</v>
      </c>
      <c r="H7" s="288"/>
      <c r="I7" s="288" t="s">
        <v>479</v>
      </c>
      <c r="J7" s="288"/>
      <c r="M7" s="6"/>
    </row>
    <row r="8" spans="2:18">
      <c r="B8" s="1">
        <v>7</v>
      </c>
      <c r="C8" s="357" t="s">
        <v>482</v>
      </c>
      <c r="D8" s="358"/>
      <c r="E8" s="288" t="s">
        <v>472</v>
      </c>
      <c r="F8" s="288"/>
      <c r="G8" s="288" t="s">
        <v>479</v>
      </c>
      <c r="H8" s="288"/>
      <c r="I8" s="288" t="s">
        <v>479</v>
      </c>
      <c r="J8" s="288"/>
      <c r="M8" s="6"/>
    </row>
    <row r="9" spans="2:18">
      <c r="B9" s="1">
        <v>8</v>
      </c>
      <c r="C9" s="288" t="s">
        <v>483</v>
      </c>
      <c r="D9" s="288"/>
      <c r="E9" s="288" t="s">
        <v>472</v>
      </c>
      <c r="F9" s="288"/>
      <c r="G9" s="288" t="s">
        <v>479</v>
      </c>
      <c r="H9" s="288"/>
      <c r="I9" s="288" t="s">
        <v>479</v>
      </c>
      <c r="J9" s="288"/>
    </row>
    <row r="10" spans="2:18">
      <c r="B10" s="1">
        <v>9</v>
      </c>
      <c r="C10" s="288" t="s">
        <v>484</v>
      </c>
      <c r="D10" s="288"/>
      <c r="E10" s="288" t="s">
        <v>472</v>
      </c>
      <c r="F10" s="288"/>
      <c r="G10" s="288" t="s">
        <v>479</v>
      </c>
      <c r="H10" s="288"/>
      <c r="I10" s="288" t="s">
        <v>479</v>
      </c>
      <c r="J10" s="288"/>
    </row>
    <row r="11" spans="2:18">
      <c r="B11" s="1">
        <v>10</v>
      </c>
      <c r="C11" s="288" t="s">
        <v>485</v>
      </c>
      <c r="D11" s="288"/>
      <c r="E11" s="288" t="s">
        <v>472</v>
      </c>
      <c r="F11" s="288"/>
      <c r="G11" s="288" t="s">
        <v>473</v>
      </c>
      <c r="H11" s="288"/>
      <c r="I11" s="288" t="s">
        <v>473</v>
      </c>
      <c r="J11" s="288"/>
    </row>
    <row r="12" spans="2:18">
      <c r="B12" s="1">
        <v>11</v>
      </c>
      <c r="C12" s="288" t="s">
        <v>486</v>
      </c>
      <c r="D12" s="288"/>
      <c r="E12" s="288" t="s">
        <v>472</v>
      </c>
      <c r="F12" s="288"/>
      <c r="G12" s="288" t="s">
        <v>11</v>
      </c>
      <c r="H12" s="288"/>
      <c r="I12" s="288" t="s">
        <v>11</v>
      </c>
      <c r="J12" s="288"/>
    </row>
    <row r="13" spans="2:18" ht="15.75">
      <c r="B13" s="1">
        <v>12</v>
      </c>
      <c r="C13" s="288" t="s">
        <v>487</v>
      </c>
      <c r="D13" s="288"/>
      <c r="E13" s="288" t="s">
        <v>472</v>
      </c>
      <c r="F13" s="288"/>
      <c r="G13" s="288" t="s">
        <v>11</v>
      </c>
      <c r="H13" s="288"/>
      <c r="I13" s="288" t="s">
        <v>11</v>
      </c>
      <c r="J13" s="288"/>
      <c r="O13" s="7" t="s">
        <v>488</v>
      </c>
      <c r="P13" s="7"/>
      <c r="Q13" s="7"/>
      <c r="R13" s="7"/>
    </row>
    <row r="14" spans="2:18" ht="15.75">
      <c r="B14" s="1">
        <v>13</v>
      </c>
      <c r="C14" s="288" t="s">
        <v>489</v>
      </c>
      <c r="D14" s="288"/>
      <c r="E14" s="288" t="s">
        <v>472</v>
      </c>
      <c r="F14" s="288"/>
      <c r="G14" s="288" t="s">
        <v>11</v>
      </c>
      <c r="H14" s="288"/>
      <c r="I14" s="288" t="s">
        <v>11</v>
      </c>
      <c r="J14" s="288"/>
      <c r="O14" s="8" t="s">
        <v>490</v>
      </c>
      <c r="P14" s="8"/>
      <c r="Q14" s="8"/>
      <c r="R14" s="8"/>
    </row>
    <row r="15" spans="2:18" ht="15.75">
      <c r="B15" s="1">
        <v>14</v>
      </c>
      <c r="C15" s="288" t="s">
        <v>491</v>
      </c>
      <c r="D15" s="288"/>
      <c r="E15" s="288" t="s">
        <v>472</v>
      </c>
      <c r="F15" s="288"/>
      <c r="G15" s="288" t="s">
        <v>11</v>
      </c>
      <c r="H15" s="288"/>
      <c r="I15" s="288" t="s">
        <v>11</v>
      </c>
      <c r="J15" s="288"/>
      <c r="O15" s="8" t="s">
        <v>492</v>
      </c>
    </row>
    <row r="16" spans="2:18" ht="15.75">
      <c r="B16" s="1">
        <v>15</v>
      </c>
      <c r="C16" s="288" t="s">
        <v>493</v>
      </c>
      <c r="D16" s="288"/>
      <c r="E16" s="288" t="s">
        <v>472</v>
      </c>
      <c r="F16" s="288"/>
      <c r="G16" s="288" t="s">
        <v>11</v>
      </c>
      <c r="H16" s="288"/>
      <c r="I16" s="288" t="s">
        <v>11</v>
      </c>
      <c r="J16" s="288"/>
      <c r="O16" s="7" t="s">
        <v>494</v>
      </c>
    </row>
    <row r="17" spans="2:10">
      <c r="B17" s="1">
        <v>16</v>
      </c>
      <c r="C17" s="288" t="s">
        <v>495</v>
      </c>
      <c r="D17" s="288"/>
      <c r="E17" s="288" t="s">
        <v>472</v>
      </c>
      <c r="F17" s="288"/>
      <c r="G17" s="288" t="s">
        <v>11</v>
      </c>
      <c r="H17" s="288"/>
      <c r="I17" s="288" t="s">
        <v>11</v>
      </c>
      <c r="J17" s="288"/>
    </row>
    <row r="18" spans="2:10">
      <c r="B18" s="1">
        <v>17</v>
      </c>
      <c r="C18" s="288" t="s">
        <v>496</v>
      </c>
      <c r="D18" s="288"/>
      <c r="E18" s="288" t="s">
        <v>497</v>
      </c>
      <c r="F18" s="288"/>
      <c r="G18" s="288" t="s">
        <v>11</v>
      </c>
      <c r="H18" s="288"/>
      <c r="I18" s="288" t="s">
        <v>11</v>
      </c>
      <c r="J18" s="288"/>
    </row>
    <row r="19" spans="2:10">
      <c r="B19" s="1">
        <v>18</v>
      </c>
      <c r="C19" s="288" t="s">
        <v>498</v>
      </c>
      <c r="D19" s="288"/>
      <c r="E19" s="288" t="s">
        <v>497</v>
      </c>
      <c r="F19" s="288"/>
      <c r="G19" s="288" t="s">
        <v>11</v>
      </c>
      <c r="H19" s="288"/>
      <c r="I19" s="288" t="s">
        <v>11</v>
      </c>
      <c r="J19" s="288"/>
    </row>
    <row r="20" spans="2:10">
      <c r="B20" s="1">
        <v>19</v>
      </c>
      <c r="C20" s="288" t="s">
        <v>499</v>
      </c>
      <c r="D20" s="288"/>
      <c r="E20" s="288" t="s">
        <v>500</v>
      </c>
      <c r="F20" s="288"/>
      <c r="G20" s="307" t="s">
        <v>501</v>
      </c>
      <c r="H20" s="288"/>
      <c r="I20" s="288" t="s">
        <v>473</v>
      </c>
      <c r="J20" s="288"/>
    </row>
    <row r="21" spans="2:10">
      <c r="B21" s="1">
        <v>20</v>
      </c>
      <c r="C21" s="288" t="s">
        <v>502</v>
      </c>
      <c r="D21" s="288"/>
      <c r="E21" s="288" t="s">
        <v>503</v>
      </c>
      <c r="F21" s="288"/>
      <c r="G21" s="307" t="s">
        <v>504</v>
      </c>
      <c r="H21" s="288"/>
      <c r="I21" s="288" t="s">
        <v>505</v>
      </c>
      <c r="J21" s="288"/>
    </row>
  </sheetData>
  <mergeCells count="82">
    <mergeCell ref="C4:D4"/>
    <mergeCell ref="E4:F4"/>
    <mergeCell ref="G4:H4"/>
    <mergeCell ref="I4:J4"/>
    <mergeCell ref="C2:D2"/>
    <mergeCell ref="E2:F2"/>
    <mergeCell ref="G2:H2"/>
    <mergeCell ref="I2:J2"/>
    <mergeCell ref="C3:D3"/>
    <mergeCell ref="E3:F3"/>
    <mergeCell ref="G3:H3"/>
    <mergeCell ref="I3:J3"/>
    <mergeCell ref="C5:D5"/>
    <mergeCell ref="E5:F5"/>
    <mergeCell ref="G5:H5"/>
    <mergeCell ref="I5:J5"/>
    <mergeCell ref="C6:D6"/>
    <mergeCell ref="E6:F6"/>
    <mergeCell ref="G6:H6"/>
    <mergeCell ref="I6:J6"/>
    <mergeCell ref="C7:D7"/>
    <mergeCell ref="E7:F7"/>
    <mergeCell ref="G7:H7"/>
    <mergeCell ref="I7:J7"/>
    <mergeCell ref="C9:D9"/>
    <mergeCell ref="E9:F9"/>
    <mergeCell ref="G9:H9"/>
    <mergeCell ref="I9:J9"/>
    <mergeCell ref="C8:D8"/>
    <mergeCell ref="E8:F8"/>
    <mergeCell ref="G8:H8"/>
    <mergeCell ref="I8:J8"/>
    <mergeCell ref="C10:D10"/>
    <mergeCell ref="E10:F10"/>
    <mergeCell ref="G10:H10"/>
    <mergeCell ref="I10:J10"/>
    <mergeCell ref="C11:D11"/>
    <mergeCell ref="E11:F11"/>
    <mergeCell ref="G11:H11"/>
    <mergeCell ref="I11:J11"/>
    <mergeCell ref="G15:H15"/>
    <mergeCell ref="I15:J15"/>
    <mergeCell ref="C12:D12"/>
    <mergeCell ref="E12:F12"/>
    <mergeCell ref="G12:H12"/>
    <mergeCell ref="I12:J12"/>
    <mergeCell ref="C13:D13"/>
    <mergeCell ref="E13:F13"/>
    <mergeCell ref="G13:H13"/>
    <mergeCell ref="I13:J13"/>
    <mergeCell ref="E18:F18"/>
    <mergeCell ref="G18:H18"/>
    <mergeCell ref="I18:J18"/>
    <mergeCell ref="O3:R6"/>
    <mergeCell ref="C16:D16"/>
    <mergeCell ref="E16:F16"/>
    <mergeCell ref="G16:H16"/>
    <mergeCell ref="I16:J16"/>
    <mergeCell ref="G17:H17"/>
    <mergeCell ref="I17:J17"/>
    <mergeCell ref="C14:D14"/>
    <mergeCell ref="E14:F14"/>
    <mergeCell ref="G14:H14"/>
    <mergeCell ref="I14:J14"/>
    <mergeCell ref="C15:D15"/>
    <mergeCell ref="E15:F15"/>
    <mergeCell ref="O2:R2"/>
    <mergeCell ref="C21:D21"/>
    <mergeCell ref="E21:F21"/>
    <mergeCell ref="G21:H21"/>
    <mergeCell ref="I21:J21"/>
    <mergeCell ref="C19:D19"/>
    <mergeCell ref="E19:F19"/>
    <mergeCell ref="G19:H19"/>
    <mergeCell ref="I19:J19"/>
    <mergeCell ref="C20:D20"/>
    <mergeCell ref="E20:F20"/>
    <mergeCell ref="G20:H20"/>
    <mergeCell ref="I20:J20"/>
    <mergeCell ref="C17:D17"/>
    <mergeCell ref="E17:F17"/>
    <mergeCell ref="C18:D18"/>
  </mergeCells>
  <hyperlinks>
    <hyperlink ref="O3:R6" r:id="rId1" location="slide=id.g32db1ece269_0_0" display="https://docs.google.com/presentation/d/1t_qMBDZdk1AVXNrkqVlG_MW-Mrc0SIqg9Z_gg5xSotk/edit#slide=id.g32db1ece269_0_0" xr:uid="{35AF0636-893D-4613-B8B6-39F4A7AE270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E53CC-7BF4-4DE5-80F8-38CB15BAA1F2}">
  <dimension ref="B2:J22"/>
  <sheetViews>
    <sheetView showGridLines="0" workbookViewId="0">
      <pane ySplit="2" topLeftCell="A11" activePane="bottomLeft" state="frozen"/>
      <selection pane="bottomLeft" activeCell="A5" sqref="A5"/>
    </sheetView>
  </sheetViews>
  <sheetFormatPr defaultRowHeight="14.25"/>
  <cols>
    <col min="1" max="1" width="9.140625" style="13"/>
    <col min="2" max="2" width="11.42578125" style="13" customWidth="1"/>
    <col min="3" max="3" width="17.28515625" style="13" customWidth="1"/>
    <col min="4" max="4" width="25.5703125" style="13" customWidth="1"/>
    <col min="5" max="5" width="22.5703125" style="13" customWidth="1"/>
    <col min="6" max="6" width="14.85546875" style="13" customWidth="1"/>
    <col min="7" max="7" width="74.7109375" style="20" customWidth="1"/>
    <col min="8" max="8" width="24.7109375" style="13" customWidth="1"/>
    <col min="9" max="9" width="10.28515625" style="13" customWidth="1"/>
    <col min="10" max="10" width="16.140625" style="13" customWidth="1"/>
    <col min="11" max="16384" width="9.140625" style="13"/>
  </cols>
  <sheetData>
    <row r="2" spans="2:10">
      <c r="B2" s="30" t="s">
        <v>465</v>
      </c>
      <c r="C2" s="31" t="s">
        <v>1</v>
      </c>
      <c r="D2" s="31" t="s">
        <v>506</v>
      </c>
      <c r="E2" s="31" t="s">
        <v>4</v>
      </c>
      <c r="F2" s="31" t="s">
        <v>173</v>
      </c>
      <c r="G2" s="47" t="s">
        <v>507</v>
      </c>
      <c r="H2" s="31" t="s">
        <v>508</v>
      </c>
      <c r="I2" s="31" t="s">
        <v>509</v>
      </c>
      <c r="J2" s="32" t="s">
        <v>455</v>
      </c>
    </row>
    <row r="3" spans="2:10" ht="29.25">
      <c r="B3" s="25">
        <v>1</v>
      </c>
      <c r="C3" s="12" t="s">
        <v>510</v>
      </c>
      <c r="D3" s="15" t="s">
        <v>511</v>
      </c>
      <c r="E3" s="41" t="s">
        <v>512</v>
      </c>
      <c r="F3" s="1" t="s">
        <v>180</v>
      </c>
      <c r="G3" s="16" t="s">
        <v>513</v>
      </c>
      <c r="H3" s="1" t="s">
        <v>514</v>
      </c>
      <c r="I3" s="1" t="s">
        <v>183</v>
      </c>
      <c r="J3" s="26" t="s">
        <v>515</v>
      </c>
    </row>
    <row r="4" spans="2:10" ht="29.25">
      <c r="B4" s="25">
        <v>2</v>
      </c>
      <c r="C4" s="12" t="s">
        <v>510</v>
      </c>
      <c r="D4" s="15" t="s">
        <v>511</v>
      </c>
      <c r="E4" s="41" t="s">
        <v>512</v>
      </c>
      <c r="F4" s="1" t="s">
        <v>180</v>
      </c>
      <c r="G4" s="16" t="s">
        <v>516</v>
      </c>
      <c r="H4" s="1" t="s">
        <v>514</v>
      </c>
      <c r="I4" s="1" t="s">
        <v>183</v>
      </c>
      <c r="J4" s="26" t="s">
        <v>515</v>
      </c>
    </row>
    <row r="5" spans="2:10" ht="36" customHeight="1">
      <c r="B5" s="25">
        <v>3</v>
      </c>
      <c r="C5" s="1" t="s">
        <v>517</v>
      </c>
      <c r="D5" s="42" t="s">
        <v>518</v>
      </c>
      <c r="E5" s="41" t="s">
        <v>30</v>
      </c>
      <c r="F5" s="1" t="s">
        <v>191</v>
      </c>
      <c r="G5" s="18" t="s">
        <v>519</v>
      </c>
      <c r="H5" s="1" t="s">
        <v>520</v>
      </c>
      <c r="I5" s="1" t="s">
        <v>183</v>
      </c>
      <c r="J5" s="26" t="s">
        <v>460</v>
      </c>
    </row>
    <row r="6" spans="2:10" ht="57" customHeight="1">
      <c r="B6" s="25">
        <v>4</v>
      </c>
      <c r="C6" s="1" t="s">
        <v>521</v>
      </c>
      <c r="D6" s="42" t="s">
        <v>518</v>
      </c>
      <c r="E6" s="41" t="s">
        <v>30</v>
      </c>
      <c r="F6" s="1" t="s">
        <v>191</v>
      </c>
      <c r="G6" s="18" t="s">
        <v>522</v>
      </c>
      <c r="H6" s="1" t="s">
        <v>514</v>
      </c>
      <c r="I6" s="1" t="s">
        <v>183</v>
      </c>
      <c r="J6" s="26" t="s">
        <v>460</v>
      </c>
    </row>
    <row r="7" spans="2:10" ht="29.25" customHeight="1">
      <c r="B7" s="362">
        <v>5</v>
      </c>
      <c r="C7" s="288" t="s">
        <v>523</v>
      </c>
      <c r="D7" s="288" t="s">
        <v>380</v>
      </c>
      <c r="E7" s="303" t="s">
        <v>30</v>
      </c>
      <c r="F7" s="288" t="s">
        <v>191</v>
      </c>
      <c r="G7" s="17" t="s">
        <v>524</v>
      </c>
      <c r="H7" s="288" t="s">
        <v>514</v>
      </c>
      <c r="I7" s="288" t="s">
        <v>183</v>
      </c>
      <c r="J7" s="361" t="s">
        <v>460</v>
      </c>
    </row>
    <row r="8" spans="2:10" ht="29.25">
      <c r="B8" s="362"/>
      <c r="C8" s="288"/>
      <c r="D8" s="288"/>
      <c r="E8" s="303"/>
      <c r="F8" s="288"/>
      <c r="G8" s="17" t="s">
        <v>525</v>
      </c>
      <c r="H8" s="288"/>
      <c r="I8" s="288"/>
      <c r="J8" s="361"/>
    </row>
    <row r="9" spans="2:10" ht="44.25">
      <c r="B9" s="362"/>
      <c r="C9" s="288"/>
      <c r="D9" s="288"/>
      <c r="E9" s="303"/>
      <c r="F9" s="288"/>
      <c r="G9" s="17" t="s">
        <v>526</v>
      </c>
      <c r="H9" s="288"/>
      <c r="I9" s="288"/>
      <c r="J9" s="361"/>
    </row>
    <row r="10" spans="2:10" ht="89.25" customHeight="1">
      <c r="B10" s="25">
        <v>8</v>
      </c>
      <c r="C10" s="12">
        <v>45749</v>
      </c>
      <c r="D10" s="15" t="s">
        <v>527</v>
      </c>
      <c r="E10" s="14" t="s">
        <v>528</v>
      </c>
      <c r="F10" s="1" t="s">
        <v>191</v>
      </c>
      <c r="G10" s="19" t="s">
        <v>529</v>
      </c>
      <c r="H10" s="1" t="s">
        <v>514</v>
      </c>
      <c r="I10" s="1" t="s">
        <v>183</v>
      </c>
      <c r="J10" s="26" t="s">
        <v>515</v>
      </c>
    </row>
    <row r="11" spans="2:10" ht="85.5" customHeight="1">
      <c r="B11" s="25">
        <v>9</v>
      </c>
      <c r="C11" s="12">
        <v>45750</v>
      </c>
      <c r="D11" s="15" t="s">
        <v>527</v>
      </c>
      <c r="E11" s="14" t="s">
        <v>528</v>
      </c>
      <c r="F11" s="1" t="s">
        <v>191</v>
      </c>
      <c r="G11" s="19" t="s">
        <v>530</v>
      </c>
      <c r="H11" s="1" t="s">
        <v>514</v>
      </c>
      <c r="I11" s="1" t="s">
        <v>207</v>
      </c>
      <c r="J11" s="26" t="s">
        <v>515</v>
      </c>
    </row>
    <row r="12" spans="2:10" ht="29.25" customHeight="1">
      <c r="B12" s="362">
        <v>10</v>
      </c>
      <c r="C12" s="306">
        <v>45722</v>
      </c>
      <c r="D12" s="363" t="s">
        <v>531</v>
      </c>
      <c r="E12" s="298" t="s">
        <v>532</v>
      </c>
      <c r="F12" s="288" t="s">
        <v>191</v>
      </c>
      <c r="G12" s="19" t="s">
        <v>533</v>
      </c>
      <c r="H12" s="288" t="s">
        <v>514</v>
      </c>
      <c r="I12" s="288" t="s">
        <v>207</v>
      </c>
      <c r="J12" s="361" t="s">
        <v>515</v>
      </c>
    </row>
    <row r="13" spans="2:10" ht="24" customHeight="1">
      <c r="B13" s="362"/>
      <c r="C13" s="306"/>
      <c r="D13" s="363"/>
      <c r="E13" s="290"/>
      <c r="F13" s="288"/>
      <c r="G13" s="19" t="s">
        <v>534</v>
      </c>
      <c r="H13" s="288"/>
      <c r="I13" s="288"/>
      <c r="J13" s="361"/>
    </row>
    <row r="14" spans="2:10" ht="28.5" customHeight="1">
      <c r="B14" s="362">
        <v>12</v>
      </c>
      <c r="C14" s="306">
        <v>45743</v>
      </c>
      <c r="D14" s="290" t="s">
        <v>535</v>
      </c>
      <c r="E14" s="364" t="s">
        <v>536</v>
      </c>
      <c r="F14" s="288" t="s">
        <v>191</v>
      </c>
      <c r="G14" s="43" t="s">
        <v>537</v>
      </c>
      <c r="H14" s="288" t="s">
        <v>520</v>
      </c>
      <c r="I14" s="288" t="s">
        <v>207</v>
      </c>
      <c r="J14" s="361" t="s">
        <v>460</v>
      </c>
    </row>
    <row r="15" spans="2:10" ht="28.5" customHeight="1">
      <c r="B15" s="362"/>
      <c r="C15" s="288"/>
      <c r="D15" s="290"/>
      <c r="E15" s="364"/>
      <c r="F15" s="288"/>
      <c r="G15" s="44" t="s">
        <v>74</v>
      </c>
      <c r="H15" s="288"/>
      <c r="I15" s="288"/>
      <c r="J15" s="361"/>
    </row>
    <row r="16" spans="2:10" ht="38.25" customHeight="1">
      <c r="B16" s="25">
        <v>14</v>
      </c>
      <c r="C16" s="75">
        <v>45750</v>
      </c>
      <c r="D16" s="15" t="s">
        <v>538</v>
      </c>
      <c r="E16" s="99" t="s">
        <v>539</v>
      </c>
      <c r="F16" s="2"/>
      <c r="G16" s="19" t="s">
        <v>540</v>
      </c>
      <c r="H16" s="2" t="s">
        <v>514</v>
      </c>
      <c r="I16" s="2" t="s">
        <v>207</v>
      </c>
      <c r="J16" s="104" t="s">
        <v>515</v>
      </c>
    </row>
    <row r="17" spans="2:10" ht="36" customHeight="1">
      <c r="B17" s="25">
        <v>15</v>
      </c>
      <c r="C17" s="75">
        <v>45751</v>
      </c>
      <c r="D17" s="15" t="s">
        <v>538</v>
      </c>
      <c r="E17" s="99" t="s">
        <v>539</v>
      </c>
      <c r="F17" s="2"/>
      <c r="G17" s="102" t="s">
        <v>541</v>
      </c>
      <c r="H17" s="2" t="s">
        <v>514</v>
      </c>
      <c r="I17" s="2" t="s">
        <v>207</v>
      </c>
      <c r="J17" s="104" t="s">
        <v>515</v>
      </c>
    </row>
    <row r="18" spans="2:10" ht="29.25">
      <c r="B18" s="25">
        <v>16</v>
      </c>
      <c r="C18" s="75">
        <v>45752</v>
      </c>
      <c r="D18" s="15" t="s">
        <v>538</v>
      </c>
      <c r="E18" s="99" t="s">
        <v>539</v>
      </c>
      <c r="F18" s="2"/>
      <c r="G18" s="103" t="s">
        <v>542</v>
      </c>
      <c r="H18" s="2" t="s">
        <v>514</v>
      </c>
      <c r="I18" s="2" t="s">
        <v>207</v>
      </c>
      <c r="J18" s="104" t="s">
        <v>515</v>
      </c>
    </row>
    <row r="19" spans="2:10" ht="29.25">
      <c r="B19" s="27">
        <v>17</v>
      </c>
      <c r="C19" s="45">
        <v>45784</v>
      </c>
      <c r="D19" s="38" t="s">
        <v>543</v>
      </c>
      <c r="E19" s="46" t="s">
        <v>216</v>
      </c>
      <c r="F19" s="105" t="s">
        <v>191</v>
      </c>
      <c r="G19" s="100" t="s">
        <v>544</v>
      </c>
      <c r="H19" s="39" t="s">
        <v>514</v>
      </c>
      <c r="I19" s="39" t="s">
        <v>207</v>
      </c>
      <c r="J19" s="40" t="s">
        <v>515</v>
      </c>
    </row>
    <row r="20" spans="2:10">
      <c r="F20" s="101"/>
    </row>
    <row r="22" spans="2:10">
      <c r="G22" s="101"/>
    </row>
  </sheetData>
  <mergeCells count="24">
    <mergeCell ref="H14:H15"/>
    <mergeCell ref="I14:I15"/>
    <mergeCell ref="J14:J15"/>
    <mergeCell ref="B14:B15"/>
    <mergeCell ref="C14:C15"/>
    <mergeCell ref="D14:D15"/>
    <mergeCell ref="E14:E15"/>
    <mergeCell ref="F14:F15"/>
    <mergeCell ref="H12:H13"/>
    <mergeCell ref="I12:I13"/>
    <mergeCell ref="J12:J13"/>
    <mergeCell ref="C7:C9"/>
    <mergeCell ref="B7:B9"/>
    <mergeCell ref="H7:H9"/>
    <mergeCell ref="I7:I9"/>
    <mergeCell ref="J7:J9"/>
    <mergeCell ref="F7:F9"/>
    <mergeCell ref="E7:E9"/>
    <mergeCell ref="D7:D9"/>
    <mergeCell ref="E12:E13"/>
    <mergeCell ref="D12:D13"/>
    <mergeCell ref="C12:C13"/>
    <mergeCell ref="B12:B13"/>
    <mergeCell ref="F12:F13"/>
  </mergeCells>
  <dataValidations count="4">
    <dataValidation type="list" allowBlank="1" showInputMessage="1" showErrorMessage="1" sqref="F3:F7 F14 F10:F12 F16:F19" xr:uid="{DBCA8ED1-B329-4698-A197-987AA22C1E7A}">
      <formula1>"Event,Non-Event"</formula1>
    </dataValidation>
    <dataValidation type="list" allowBlank="1" showInputMessage="1" showErrorMessage="1" sqref="H3:H7 H14 H16:H19 H10:H12" xr:uid="{1058CD27-A1A0-47C5-99B8-B9469AEC7194}">
      <formula1>"Common, Specific"</formula1>
    </dataValidation>
    <dataValidation type="list" allowBlank="1" showInputMessage="1" showErrorMessage="1" sqref="I3:I7 I14 I16:I19 I10:I12" xr:uid="{555C97F7-6AB8-4A2B-A8F1-E68C1D62C298}">
      <formula1>"Yes, No"</formula1>
    </dataValidation>
    <dataValidation showDropDown="1" showInputMessage="1" showErrorMessage="1" sqref="G2 G15 G20:G1048576" xr:uid="{C55BEA13-B8AD-418D-B083-E30F28DA1996}"/>
  </dataValidations>
  <hyperlinks>
    <hyperlink ref="G15" r:id="rId1" location="slide=id.g33a57c71c00_0_11" xr:uid="{FCC66659-0E63-4966-AEFB-7FA54ECB7E2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1BB73-5258-4449-8BA3-D9A0A9B6BB11}">
  <dimension ref="B2:G24"/>
  <sheetViews>
    <sheetView workbookViewId="0">
      <selection activeCell="C11" sqref="C11"/>
    </sheetView>
  </sheetViews>
  <sheetFormatPr defaultRowHeight="15"/>
  <cols>
    <col min="2" max="2" width="5.5703125" bestFit="1" customWidth="1"/>
    <col min="3" max="3" width="44.42578125" bestFit="1" customWidth="1"/>
    <col min="4" max="4" width="16" bestFit="1" customWidth="1"/>
    <col min="5" max="5" width="25.140625" bestFit="1" customWidth="1"/>
    <col min="6" max="6" width="11" bestFit="1" customWidth="1"/>
    <col min="7" max="7" width="13.7109375" bestFit="1" customWidth="1"/>
  </cols>
  <sheetData>
    <row r="2" spans="2:7">
      <c r="F2" s="28"/>
    </row>
    <row r="3" spans="2:7">
      <c r="B3" s="87" t="s">
        <v>545</v>
      </c>
      <c r="C3" s="88" t="s">
        <v>546</v>
      </c>
      <c r="D3" s="89" t="s">
        <v>547</v>
      </c>
      <c r="E3" s="21"/>
      <c r="F3" s="21"/>
    </row>
    <row r="4" spans="2:7">
      <c r="B4" s="82">
        <v>1</v>
      </c>
      <c r="C4" s="22" t="s">
        <v>548</v>
      </c>
      <c r="D4" s="83" t="s">
        <v>549</v>
      </c>
      <c r="E4" s="21"/>
      <c r="F4" s="21"/>
    </row>
    <row r="5" spans="2:7">
      <c r="B5" s="82">
        <v>2</v>
      </c>
      <c r="C5" s="22" t="s">
        <v>550</v>
      </c>
      <c r="D5" s="83" t="s">
        <v>549</v>
      </c>
      <c r="E5" s="21"/>
      <c r="F5" s="21"/>
    </row>
    <row r="6" spans="2:7">
      <c r="B6" s="82">
        <v>3</v>
      </c>
      <c r="C6" s="22" t="s">
        <v>551</v>
      </c>
      <c r="D6" s="83" t="s">
        <v>549</v>
      </c>
      <c r="E6" s="21"/>
      <c r="F6" s="21"/>
    </row>
    <row r="7" spans="2:7">
      <c r="B7" s="82">
        <v>4</v>
      </c>
      <c r="C7" s="22" t="s">
        <v>552</v>
      </c>
      <c r="D7" s="83" t="s">
        <v>549</v>
      </c>
      <c r="E7" s="21"/>
      <c r="F7" s="21"/>
    </row>
    <row r="8" spans="2:7">
      <c r="B8" s="82">
        <v>5</v>
      </c>
      <c r="C8" s="22" t="s">
        <v>502</v>
      </c>
      <c r="D8" s="83" t="s">
        <v>549</v>
      </c>
      <c r="E8" s="21"/>
      <c r="F8" s="21"/>
    </row>
    <row r="9" spans="2:7">
      <c r="B9" s="82">
        <v>6</v>
      </c>
      <c r="C9" s="22" t="s">
        <v>553</v>
      </c>
      <c r="D9" s="83" t="s">
        <v>549</v>
      </c>
      <c r="E9" s="21"/>
      <c r="F9" s="21"/>
    </row>
    <row r="10" spans="2:7">
      <c r="B10" s="82">
        <v>7</v>
      </c>
      <c r="C10" s="22" t="s">
        <v>554</v>
      </c>
      <c r="D10" s="83" t="s">
        <v>549</v>
      </c>
      <c r="E10" s="21"/>
      <c r="F10" s="21"/>
    </row>
    <row r="11" spans="2:7">
      <c r="B11" s="84">
        <v>8</v>
      </c>
      <c r="C11" s="85" t="s">
        <v>555</v>
      </c>
      <c r="D11" s="86" t="s">
        <v>549</v>
      </c>
      <c r="E11" s="21"/>
      <c r="F11" s="21"/>
    </row>
    <row r="12" spans="2:7">
      <c r="B12" s="21"/>
      <c r="C12" s="23"/>
      <c r="D12" s="23"/>
      <c r="E12" s="21"/>
      <c r="F12" s="21"/>
    </row>
    <row r="13" spans="2:7">
      <c r="B13" s="21"/>
      <c r="C13" s="23"/>
      <c r="D13" s="23"/>
      <c r="E13" s="21"/>
      <c r="F13" s="21"/>
    </row>
    <row r="14" spans="2:7">
      <c r="B14" s="87" t="s">
        <v>545</v>
      </c>
      <c r="C14" s="88" t="s">
        <v>556</v>
      </c>
      <c r="D14" s="88" t="s">
        <v>557</v>
      </c>
      <c r="E14" s="88" t="s">
        <v>558</v>
      </c>
      <c r="F14" s="88" t="s">
        <v>559</v>
      </c>
      <c r="G14" s="89" t="s">
        <v>560</v>
      </c>
    </row>
    <row r="15" spans="2:7">
      <c r="B15" s="90">
        <v>1</v>
      </c>
      <c r="C15" s="91" t="s">
        <v>561</v>
      </c>
      <c r="D15" s="91" t="s">
        <v>549</v>
      </c>
      <c r="E15" s="91" t="s">
        <v>549</v>
      </c>
      <c r="F15" s="91" t="s">
        <v>549</v>
      </c>
      <c r="G15" s="92" t="s">
        <v>11</v>
      </c>
    </row>
    <row r="16" spans="2:7">
      <c r="B16" s="33">
        <v>2</v>
      </c>
      <c r="C16" s="29" t="s">
        <v>562</v>
      </c>
      <c r="D16" s="29" t="s">
        <v>549</v>
      </c>
      <c r="E16" s="29" t="s">
        <v>549</v>
      </c>
      <c r="F16" s="29" t="s">
        <v>549</v>
      </c>
      <c r="G16" s="34" t="s">
        <v>11</v>
      </c>
    </row>
    <row r="17" spans="2:7">
      <c r="B17" s="33">
        <v>3</v>
      </c>
      <c r="C17" s="29" t="s">
        <v>563</v>
      </c>
      <c r="D17" s="29" t="s">
        <v>549</v>
      </c>
      <c r="E17" s="29" t="s">
        <v>549</v>
      </c>
      <c r="F17" s="29" t="s">
        <v>549</v>
      </c>
      <c r="G17" s="34" t="s">
        <v>11</v>
      </c>
    </row>
    <row r="18" spans="2:7">
      <c r="B18" s="33">
        <v>4</v>
      </c>
      <c r="C18" s="29" t="s">
        <v>564</v>
      </c>
      <c r="D18" s="29" t="s">
        <v>549</v>
      </c>
      <c r="E18" s="29" t="s">
        <v>549</v>
      </c>
      <c r="F18" s="29" t="s">
        <v>549</v>
      </c>
      <c r="G18" s="34" t="s">
        <v>11</v>
      </c>
    </row>
    <row r="19" spans="2:7">
      <c r="B19" s="33">
        <v>5</v>
      </c>
      <c r="C19" s="29" t="s">
        <v>565</v>
      </c>
      <c r="D19" s="29" t="s">
        <v>549</v>
      </c>
      <c r="E19" s="29" t="s">
        <v>549</v>
      </c>
      <c r="F19" s="29" t="s">
        <v>549</v>
      </c>
      <c r="G19" s="34" t="s">
        <v>11</v>
      </c>
    </row>
    <row r="20" spans="2:7">
      <c r="B20" s="33">
        <v>6</v>
      </c>
      <c r="C20" s="29" t="s">
        <v>566</v>
      </c>
      <c r="D20" s="29" t="s">
        <v>549</v>
      </c>
      <c r="E20" s="29" t="s">
        <v>549</v>
      </c>
      <c r="F20" s="29" t="s">
        <v>549</v>
      </c>
      <c r="G20" s="34" t="s">
        <v>11</v>
      </c>
    </row>
    <row r="21" spans="2:7">
      <c r="B21" s="33">
        <v>7</v>
      </c>
      <c r="C21" s="29" t="s">
        <v>567</v>
      </c>
      <c r="D21" s="29" t="s">
        <v>549</v>
      </c>
      <c r="E21" s="29" t="s">
        <v>549</v>
      </c>
      <c r="F21" s="29" t="s">
        <v>549</v>
      </c>
      <c r="G21" s="34" t="s">
        <v>11</v>
      </c>
    </row>
    <row r="22" spans="2:7">
      <c r="B22" s="33">
        <v>8</v>
      </c>
      <c r="C22" s="29" t="s">
        <v>568</v>
      </c>
      <c r="D22" s="29" t="s">
        <v>549</v>
      </c>
      <c r="E22" s="29" t="s">
        <v>549</v>
      </c>
      <c r="F22" s="29" t="s">
        <v>549</v>
      </c>
      <c r="G22" s="34" t="s">
        <v>11</v>
      </c>
    </row>
    <row r="23" spans="2:7">
      <c r="B23" s="35">
        <v>9</v>
      </c>
      <c r="C23" s="36" t="s">
        <v>569</v>
      </c>
      <c r="D23" s="36" t="s">
        <v>549</v>
      </c>
      <c r="E23" s="36" t="s">
        <v>549</v>
      </c>
      <c r="F23" s="36" t="s">
        <v>549</v>
      </c>
      <c r="G23" s="37" t="s">
        <v>549</v>
      </c>
    </row>
    <row r="24" spans="2:7">
      <c r="B24" s="24"/>
      <c r="C24" s="24"/>
      <c r="D24" s="24"/>
      <c r="E24" s="24"/>
      <c r="F24" s="2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66B19-CB04-4819-B180-BC24E25BB2C5}">
  <dimension ref="B2:G24"/>
  <sheetViews>
    <sheetView showGridLines="0" workbookViewId="0">
      <selection activeCell="D11" sqref="D11"/>
    </sheetView>
  </sheetViews>
  <sheetFormatPr defaultRowHeight="14.25"/>
  <cols>
    <col min="1" max="1" width="9.140625" style="50"/>
    <col min="2" max="2" width="5.5703125" style="50" bestFit="1" customWidth="1"/>
    <col min="3" max="3" width="44.42578125" style="50" bestFit="1" customWidth="1"/>
    <col min="4" max="4" width="16" style="50" bestFit="1" customWidth="1"/>
    <col min="5" max="5" width="25.140625" style="50" bestFit="1" customWidth="1"/>
    <col min="6" max="6" width="11" style="50" bestFit="1" customWidth="1"/>
    <col min="7" max="7" width="13.7109375" style="50" bestFit="1" customWidth="1"/>
    <col min="8" max="16384" width="9.140625" style="50"/>
  </cols>
  <sheetData>
    <row r="2" spans="2:7">
      <c r="F2" s="53"/>
    </row>
    <row r="3" spans="2:7">
      <c r="B3" s="54" t="s">
        <v>545</v>
      </c>
      <c r="C3" s="55" t="s">
        <v>546</v>
      </c>
      <c r="D3" s="56" t="s">
        <v>547</v>
      </c>
      <c r="E3" s="57"/>
      <c r="F3" s="57"/>
    </row>
    <row r="4" spans="2:7">
      <c r="B4" s="58">
        <v>1</v>
      </c>
      <c r="C4" s="59" t="s">
        <v>548</v>
      </c>
      <c r="D4" s="60" t="s">
        <v>570</v>
      </c>
      <c r="E4" s="57"/>
      <c r="F4" s="57"/>
    </row>
    <row r="5" spans="2:7">
      <c r="B5" s="58">
        <v>2</v>
      </c>
      <c r="C5" s="59" t="s">
        <v>550</v>
      </c>
      <c r="D5" s="60" t="s">
        <v>571</v>
      </c>
      <c r="E5" s="57"/>
      <c r="F5" s="57"/>
    </row>
    <row r="6" spans="2:7">
      <c r="B6" s="58">
        <v>3</v>
      </c>
      <c r="C6" s="59" t="s">
        <v>551</v>
      </c>
      <c r="D6" s="60" t="s">
        <v>207</v>
      </c>
      <c r="E6" s="57"/>
      <c r="F6" s="57"/>
    </row>
    <row r="7" spans="2:7">
      <c r="B7" s="58">
        <v>4</v>
      </c>
      <c r="C7" s="59" t="s">
        <v>552</v>
      </c>
      <c r="D7" s="60" t="s">
        <v>572</v>
      </c>
      <c r="E7" s="57"/>
      <c r="F7" s="57"/>
    </row>
    <row r="8" spans="2:7">
      <c r="B8" s="58">
        <v>5</v>
      </c>
      <c r="C8" s="59" t="s">
        <v>502</v>
      </c>
      <c r="D8" s="60" t="s">
        <v>207</v>
      </c>
      <c r="E8" s="57"/>
      <c r="F8" s="57"/>
    </row>
    <row r="9" spans="2:7">
      <c r="B9" s="58">
        <v>6</v>
      </c>
      <c r="C9" s="59" t="s">
        <v>553</v>
      </c>
      <c r="D9" s="60" t="s">
        <v>207</v>
      </c>
      <c r="E9" s="57"/>
      <c r="F9" s="57"/>
    </row>
    <row r="10" spans="2:7">
      <c r="B10" s="58">
        <v>7</v>
      </c>
      <c r="C10" s="59" t="s">
        <v>554</v>
      </c>
      <c r="D10" s="60" t="s">
        <v>207</v>
      </c>
      <c r="E10" s="57"/>
      <c r="F10" s="57"/>
    </row>
    <row r="11" spans="2:7">
      <c r="B11" s="61">
        <v>8</v>
      </c>
      <c r="C11" s="62" t="s">
        <v>555</v>
      </c>
      <c r="D11" s="63" t="s">
        <v>207</v>
      </c>
      <c r="E11" s="57"/>
      <c r="F11" s="57"/>
    </row>
    <row r="12" spans="2:7">
      <c r="B12" s="57"/>
      <c r="C12" s="57"/>
      <c r="D12" s="57"/>
      <c r="E12" s="57"/>
      <c r="F12" s="57"/>
    </row>
    <row r="13" spans="2:7">
      <c r="B13" s="57"/>
      <c r="C13" s="57"/>
      <c r="D13" s="57"/>
      <c r="E13" s="57"/>
      <c r="F13" s="57"/>
    </row>
    <row r="14" spans="2:7">
      <c r="B14" s="64" t="s">
        <v>545</v>
      </c>
      <c r="C14" s="65" t="s">
        <v>556</v>
      </c>
      <c r="D14" s="65" t="s">
        <v>557</v>
      </c>
      <c r="E14" s="65" t="s">
        <v>558</v>
      </c>
      <c r="F14" s="65" t="s">
        <v>559</v>
      </c>
      <c r="G14" s="66" t="s">
        <v>560</v>
      </c>
    </row>
    <row r="15" spans="2:7">
      <c r="B15" s="67">
        <v>1</v>
      </c>
      <c r="C15" s="68" t="s">
        <v>561</v>
      </c>
      <c r="D15" s="51" t="s">
        <v>573</v>
      </c>
      <c r="E15" s="51" t="s">
        <v>574</v>
      </c>
      <c r="F15" s="51" t="s">
        <v>575</v>
      </c>
      <c r="G15" s="69" t="s">
        <v>11</v>
      </c>
    </row>
    <row r="16" spans="2:7">
      <c r="B16" s="67">
        <v>2</v>
      </c>
      <c r="C16" s="68" t="s">
        <v>562</v>
      </c>
      <c r="D16" s="51" t="s">
        <v>573</v>
      </c>
      <c r="E16" s="51" t="s">
        <v>11</v>
      </c>
      <c r="F16" s="51" t="s">
        <v>575</v>
      </c>
      <c r="G16" s="69" t="s">
        <v>11</v>
      </c>
    </row>
    <row r="17" spans="2:7">
      <c r="B17" s="67">
        <v>3</v>
      </c>
      <c r="C17" s="68" t="s">
        <v>563</v>
      </c>
      <c r="D17" s="51" t="s">
        <v>576</v>
      </c>
      <c r="E17" s="51" t="s">
        <v>11</v>
      </c>
      <c r="F17" s="51">
        <v>2</v>
      </c>
      <c r="G17" s="69" t="s">
        <v>11</v>
      </c>
    </row>
    <row r="18" spans="2:7">
      <c r="B18" s="67">
        <v>4</v>
      </c>
      <c r="C18" s="68" t="s">
        <v>564</v>
      </c>
      <c r="D18" s="51" t="s">
        <v>576</v>
      </c>
      <c r="E18" s="51" t="s">
        <v>11</v>
      </c>
      <c r="F18" s="51">
        <v>1</v>
      </c>
      <c r="G18" s="69" t="s">
        <v>11</v>
      </c>
    </row>
    <row r="19" spans="2:7">
      <c r="B19" s="67">
        <v>5</v>
      </c>
      <c r="C19" s="68" t="s">
        <v>565</v>
      </c>
      <c r="D19" s="51" t="s">
        <v>576</v>
      </c>
      <c r="E19" s="51" t="s">
        <v>11</v>
      </c>
      <c r="F19" s="51">
        <v>1</v>
      </c>
      <c r="G19" s="69" t="s">
        <v>11</v>
      </c>
    </row>
    <row r="20" spans="2:7">
      <c r="B20" s="67">
        <v>6</v>
      </c>
      <c r="C20" s="68" t="s">
        <v>566</v>
      </c>
      <c r="D20" s="51" t="s">
        <v>576</v>
      </c>
      <c r="E20" s="51" t="s">
        <v>11</v>
      </c>
      <c r="F20" s="51">
        <v>2</v>
      </c>
      <c r="G20" s="69" t="s">
        <v>11</v>
      </c>
    </row>
    <row r="21" spans="2:7">
      <c r="B21" s="67">
        <v>7</v>
      </c>
      <c r="C21" s="68" t="s">
        <v>567</v>
      </c>
      <c r="D21" s="51" t="s">
        <v>577</v>
      </c>
      <c r="E21" s="51" t="s">
        <v>11</v>
      </c>
      <c r="F21" s="51" t="s">
        <v>578</v>
      </c>
      <c r="G21" s="69" t="s">
        <v>11</v>
      </c>
    </row>
    <row r="22" spans="2:7">
      <c r="B22" s="67">
        <v>8</v>
      </c>
      <c r="C22" s="68" t="s">
        <v>568</v>
      </c>
      <c r="D22" s="51" t="s">
        <v>579</v>
      </c>
      <c r="E22" s="51" t="s">
        <v>11</v>
      </c>
      <c r="F22" s="51">
        <v>0</v>
      </c>
      <c r="G22" s="69" t="s">
        <v>11</v>
      </c>
    </row>
    <row r="23" spans="2:7">
      <c r="B23" s="70">
        <v>9</v>
      </c>
      <c r="C23" s="71" t="s">
        <v>569</v>
      </c>
      <c r="D23" s="72" t="s">
        <v>576</v>
      </c>
      <c r="E23" s="72" t="s">
        <v>580</v>
      </c>
      <c r="F23" s="71" t="s">
        <v>581</v>
      </c>
      <c r="G23" s="73" t="s">
        <v>582</v>
      </c>
    </row>
    <row r="24" spans="2:7">
      <c r="B24" s="74"/>
      <c r="C24" s="74"/>
      <c r="D24" s="74"/>
      <c r="E24" s="74"/>
      <c r="F24" s="7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D8216-FBAD-46C1-B949-91D1B7CC912D}">
  <dimension ref="B2:G5"/>
  <sheetViews>
    <sheetView workbookViewId="0">
      <selection activeCell="C16" sqref="C16"/>
    </sheetView>
  </sheetViews>
  <sheetFormatPr defaultRowHeight="15"/>
  <cols>
    <col min="2" max="2" width="7.28515625" bestFit="1" customWidth="1"/>
    <col min="3" max="3" width="14.5703125" bestFit="1" customWidth="1"/>
    <col min="4" max="4" width="37.42578125" customWidth="1"/>
    <col min="5" max="5" width="16.42578125" customWidth="1"/>
    <col min="6" max="6" width="62" customWidth="1"/>
    <col min="7" max="7" width="8.42578125" bestFit="1" customWidth="1"/>
  </cols>
  <sheetData>
    <row r="2" spans="2:7" ht="18.75">
      <c r="B2" s="279" t="s">
        <v>583</v>
      </c>
      <c r="C2" s="280" t="s">
        <v>1</v>
      </c>
      <c r="D2" s="280" t="s">
        <v>584</v>
      </c>
      <c r="E2" s="280" t="s">
        <v>4</v>
      </c>
      <c r="F2" s="281" t="s">
        <v>5</v>
      </c>
      <c r="G2" s="280" t="s">
        <v>6</v>
      </c>
    </row>
    <row r="3" spans="2:7" ht="57">
      <c r="B3" s="196">
        <v>1</v>
      </c>
      <c r="C3" s="197">
        <v>46143</v>
      </c>
      <c r="D3" s="197" t="s">
        <v>585</v>
      </c>
      <c r="E3" s="197"/>
      <c r="F3" s="201" t="s">
        <v>586</v>
      </c>
      <c r="G3" s="198" t="s">
        <v>13</v>
      </c>
    </row>
    <row r="4" spans="2:7" ht="18.75">
      <c r="B4" s="199">
        <v>2</v>
      </c>
      <c r="C4" s="197">
        <v>46174</v>
      </c>
      <c r="D4" s="278" t="s">
        <v>587</v>
      </c>
      <c r="E4" s="197"/>
      <c r="F4" s="202" t="s">
        <v>588</v>
      </c>
      <c r="G4" s="200" t="s">
        <v>13</v>
      </c>
    </row>
    <row r="5" spans="2:7" ht="18.75">
      <c r="B5" s="199">
        <v>3</v>
      </c>
      <c r="C5" s="197">
        <v>46204</v>
      </c>
      <c r="D5" s="197" t="s">
        <v>589</v>
      </c>
      <c r="E5" s="197"/>
      <c r="F5" s="201" t="s">
        <v>590</v>
      </c>
      <c r="G5" s="200" t="s">
        <v>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E5C58-7DB8-44D5-A661-60604EC398F6}">
  <dimension ref="B1:N208"/>
  <sheetViews>
    <sheetView workbookViewId="0">
      <pane ySplit="1" topLeftCell="A197" activePane="bottomLeft" state="frozen"/>
      <selection pane="bottomLeft" activeCell="C208" sqref="C208"/>
    </sheetView>
  </sheetViews>
  <sheetFormatPr defaultRowHeight="15"/>
  <cols>
    <col min="3" max="3" width="12.5703125" customWidth="1"/>
    <col min="4" max="4" width="15.42578125" customWidth="1"/>
    <col min="5" max="5" width="12.85546875" customWidth="1"/>
    <col min="6" max="7" width="20" customWidth="1"/>
    <col min="8" max="8" width="49.140625" customWidth="1"/>
    <col min="9" max="9" width="15.5703125" customWidth="1"/>
    <col min="10" max="10" width="49.85546875" customWidth="1"/>
    <col min="11" max="11" width="21.85546875" customWidth="1"/>
  </cols>
  <sheetData>
    <row r="1" spans="2:11" ht="28.5" customHeight="1">
      <c r="B1" s="131" t="s">
        <v>583</v>
      </c>
      <c r="C1" s="131" t="s">
        <v>1</v>
      </c>
      <c r="D1" s="132" t="s">
        <v>2</v>
      </c>
      <c r="E1" s="132" t="s">
        <v>3</v>
      </c>
      <c r="F1" s="132" t="s">
        <v>4</v>
      </c>
      <c r="G1" s="132" t="s">
        <v>584</v>
      </c>
      <c r="H1" s="132" t="s">
        <v>5</v>
      </c>
      <c r="I1" s="132" t="s">
        <v>6</v>
      </c>
      <c r="J1" s="132" t="s">
        <v>7</v>
      </c>
      <c r="K1" s="132" t="s">
        <v>8</v>
      </c>
    </row>
    <row r="2" spans="2:11" ht="32.25" customHeight="1">
      <c r="B2" s="137">
        <v>1</v>
      </c>
      <c r="C2" s="163">
        <v>45820</v>
      </c>
      <c r="D2" s="123" t="s">
        <v>591</v>
      </c>
      <c r="E2" s="123" t="s">
        <v>592</v>
      </c>
      <c r="F2" s="123" t="s">
        <v>11</v>
      </c>
      <c r="G2" s="123"/>
      <c r="H2" s="123" t="s">
        <v>593</v>
      </c>
      <c r="I2" s="123" t="s">
        <v>13</v>
      </c>
      <c r="J2" s="134" t="s">
        <v>11</v>
      </c>
      <c r="K2" s="123" t="s">
        <v>11</v>
      </c>
    </row>
    <row r="3" spans="2:11" ht="30.75" customHeight="1">
      <c r="B3" s="137">
        <v>2</v>
      </c>
      <c r="C3" s="163">
        <v>45821</v>
      </c>
      <c r="D3" s="123" t="s">
        <v>591</v>
      </c>
      <c r="E3" s="123" t="s">
        <v>592</v>
      </c>
      <c r="F3" s="123" t="s">
        <v>11</v>
      </c>
      <c r="G3" s="123"/>
      <c r="H3" s="123" t="s">
        <v>594</v>
      </c>
      <c r="I3" s="123" t="s">
        <v>13</v>
      </c>
      <c r="J3" s="134" t="s">
        <v>11</v>
      </c>
      <c r="K3" s="123" t="s">
        <v>11</v>
      </c>
    </row>
    <row r="4" spans="2:11" ht="33" customHeight="1">
      <c r="B4" s="137">
        <v>3</v>
      </c>
      <c r="C4" s="163">
        <v>45822</v>
      </c>
      <c r="D4" s="123" t="s">
        <v>591</v>
      </c>
      <c r="E4" s="123" t="s">
        <v>592</v>
      </c>
      <c r="F4" s="123" t="s">
        <v>11</v>
      </c>
      <c r="G4" s="123"/>
      <c r="H4" s="123" t="s">
        <v>595</v>
      </c>
      <c r="I4" s="123" t="s">
        <v>13</v>
      </c>
      <c r="J4" s="134" t="s">
        <v>11</v>
      </c>
      <c r="K4" s="123" t="s">
        <v>11</v>
      </c>
    </row>
    <row r="5" spans="2:11" ht="52.5" customHeight="1">
      <c r="B5" s="123">
        <v>4</v>
      </c>
      <c r="C5" s="163">
        <v>45824</v>
      </c>
      <c r="D5" s="123" t="s">
        <v>591</v>
      </c>
      <c r="E5" s="123" t="s">
        <v>592</v>
      </c>
      <c r="F5" s="123" t="s">
        <v>11</v>
      </c>
      <c r="G5" s="123"/>
      <c r="H5" s="123" t="s">
        <v>596</v>
      </c>
      <c r="I5" s="123" t="s">
        <v>13</v>
      </c>
      <c r="J5" s="108" t="s">
        <v>597</v>
      </c>
      <c r="K5" s="123" t="s">
        <v>11</v>
      </c>
    </row>
    <row r="6" spans="2:11" ht="53.25" customHeight="1">
      <c r="B6" s="123">
        <v>5</v>
      </c>
      <c r="C6" s="163">
        <v>45825</v>
      </c>
      <c r="D6" s="123" t="s">
        <v>591</v>
      </c>
      <c r="E6" s="123" t="s">
        <v>592</v>
      </c>
      <c r="F6" s="123" t="s">
        <v>11</v>
      </c>
      <c r="G6" s="123"/>
      <c r="H6" s="123" t="s">
        <v>598</v>
      </c>
      <c r="I6" s="123" t="s">
        <v>13</v>
      </c>
      <c r="J6" s="108" t="s">
        <v>597</v>
      </c>
      <c r="K6" s="123" t="s">
        <v>11</v>
      </c>
    </row>
    <row r="7" spans="2:11" ht="29.25">
      <c r="B7" s="137">
        <v>6</v>
      </c>
      <c r="C7" s="163">
        <v>45826</v>
      </c>
      <c r="D7" s="123" t="s">
        <v>591</v>
      </c>
      <c r="E7" s="123" t="s">
        <v>592</v>
      </c>
      <c r="F7" s="123" t="s">
        <v>11</v>
      </c>
      <c r="G7" s="123"/>
      <c r="H7" s="133" t="s">
        <v>599</v>
      </c>
      <c r="I7" s="123" t="s">
        <v>13</v>
      </c>
      <c r="J7" s="134" t="s">
        <v>11</v>
      </c>
      <c r="K7" s="123" t="s">
        <v>11</v>
      </c>
    </row>
    <row r="8" spans="2:11" ht="29.25">
      <c r="B8" s="123">
        <v>7</v>
      </c>
      <c r="C8" s="163">
        <v>45827</v>
      </c>
      <c r="D8" s="123" t="s">
        <v>591</v>
      </c>
      <c r="E8" s="123" t="s">
        <v>592</v>
      </c>
      <c r="F8" s="123" t="s">
        <v>11</v>
      </c>
      <c r="G8" s="123"/>
      <c r="H8" s="133" t="s">
        <v>600</v>
      </c>
      <c r="I8" s="123" t="s">
        <v>13</v>
      </c>
      <c r="J8" s="134" t="s">
        <v>11</v>
      </c>
      <c r="K8" s="123" t="s">
        <v>11</v>
      </c>
    </row>
    <row r="9" spans="2:11" ht="20.25" customHeight="1">
      <c r="B9" s="167">
        <v>8</v>
      </c>
      <c r="C9" s="163">
        <v>45828</v>
      </c>
      <c r="D9" s="123" t="s">
        <v>591</v>
      </c>
      <c r="E9" s="123" t="s">
        <v>592</v>
      </c>
      <c r="F9" s="123" t="s">
        <v>11</v>
      </c>
      <c r="G9" s="123"/>
      <c r="H9" s="133" t="s">
        <v>601</v>
      </c>
      <c r="I9" s="123" t="s">
        <v>13</v>
      </c>
      <c r="J9" s="134" t="s">
        <v>11</v>
      </c>
      <c r="K9" s="134" t="s">
        <v>11</v>
      </c>
    </row>
    <row r="10" spans="2:11" ht="30.75" customHeight="1">
      <c r="B10" s="123">
        <v>9</v>
      </c>
      <c r="C10" s="163">
        <v>45831</v>
      </c>
      <c r="D10" s="123" t="s">
        <v>591</v>
      </c>
      <c r="E10" s="123" t="s">
        <v>592</v>
      </c>
      <c r="F10" s="123" t="s">
        <v>11</v>
      </c>
      <c r="G10" s="123"/>
      <c r="H10" s="133" t="s">
        <v>602</v>
      </c>
      <c r="I10" s="123" t="s">
        <v>13</v>
      </c>
      <c r="J10" s="134" t="s">
        <v>11</v>
      </c>
      <c r="K10" s="134" t="s">
        <v>11</v>
      </c>
    </row>
    <row r="11" spans="2:11" ht="69.75" customHeight="1">
      <c r="B11" s="123">
        <v>10</v>
      </c>
      <c r="C11" s="163">
        <v>45832</v>
      </c>
      <c r="D11" s="123" t="s">
        <v>591</v>
      </c>
      <c r="E11" s="123" t="s">
        <v>592</v>
      </c>
      <c r="F11" s="123" t="s">
        <v>603</v>
      </c>
      <c r="G11" s="123"/>
      <c r="H11" s="133" t="s">
        <v>604</v>
      </c>
      <c r="I11" s="123" t="s">
        <v>13</v>
      </c>
      <c r="J11" s="108" t="s">
        <v>605</v>
      </c>
      <c r="K11" s="134" t="s">
        <v>11</v>
      </c>
    </row>
    <row r="12" spans="2:11" ht="101.25" customHeight="1">
      <c r="B12" s="123">
        <v>11</v>
      </c>
      <c r="C12" s="163">
        <v>45833</v>
      </c>
      <c r="D12" s="123" t="s">
        <v>591</v>
      </c>
      <c r="E12" s="123" t="s">
        <v>592</v>
      </c>
      <c r="F12" s="133" t="s">
        <v>606</v>
      </c>
      <c r="G12" s="133"/>
      <c r="H12" s="133" t="s">
        <v>607</v>
      </c>
      <c r="I12" s="123" t="s">
        <v>13</v>
      </c>
      <c r="J12" s="108" t="s">
        <v>608</v>
      </c>
      <c r="K12" s="134" t="s">
        <v>11</v>
      </c>
    </row>
    <row r="13" spans="2:11" ht="55.5" customHeight="1">
      <c r="B13" s="386">
        <v>12</v>
      </c>
      <c r="C13" s="394">
        <v>45834</v>
      </c>
      <c r="D13" s="314" t="s">
        <v>591</v>
      </c>
      <c r="E13" s="312" t="s">
        <v>592</v>
      </c>
      <c r="F13" s="312" t="s">
        <v>609</v>
      </c>
      <c r="G13" s="98"/>
      <c r="H13" s="398" t="s">
        <v>610</v>
      </c>
      <c r="I13" s="401" t="s">
        <v>13</v>
      </c>
      <c r="J13" s="108" t="s">
        <v>611</v>
      </c>
      <c r="K13" s="312" t="s">
        <v>11</v>
      </c>
    </row>
    <row r="14" spans="2:11" ht="54.75" customHeight="1">
      <c r="B14" s="387"/>
      <c r="C14" s="395"/>
      <c r="D14" s="406"/>
      <c r="E14" s="313"/>
      <c r="F14" s="313"/>
      <c r="G14" s="191"/>
      <c r="H14" s="399"/>
      <c r="I14" s="402"/>
      <c r="J14" s="108" t="s">
        <v>612</v>
      </c>
      <c r="K14" s="288"/>
    </row>
    <row r="15" spans="2:11" ht="54" customHeight="1">
      <c r="B15" s="387"/>
      <c r="C15" s="395"/>
      <c r="D15" s="406"/>
      <c r="E15" s="313"/>
      <c r="F15" s="313"/>
      <c r="G15" s="191"/>
      <c r="H15" s="399"/>
      <c r="I15" s="402"/>
      <c r="J15" s="108" t="s">
        <v>613</v>
      </c>
      <c r="K15" s="288"/>
    </row>
    <row r="16" spans="2:11" ht="56.25" customHeight="1">
      <c r="B16" s="410"/>
      <c r="C16" s="405"/>
      <c r="D16" s="315"/>
      <c r="E16" s="316"/>
      <c r="F16" s="316"/>
      <c r="G16" s="79"/>
      <c r="H16" s="400"/>
      <c r="I16" s="403"/>
      <c r="J16" s="108" t="s">
        <v>614</v>
      </c>
      <c r="K16" s="316"/>
    </row>
    <row r="17" spans="2:13" ht="60.75" customHeight="1">
      <c r="B17" s="386">
        <v>13</v>
      </c>
      <c r="C17" s="394">
        <v>45835</v>
      </c>
      <c r="D17" s="314" t="s">
        <v>591</v>
      </c>
      <c r="E17" s="312" t="s">
        <v>592</v>
      </c>
      <c r="F17" s="401" t="s">
        <v>615</v>
      </c>
      <c r="G17" s="194"/>
      <c r="H17" s="398" t="s">
        <v>616</v>
      </c>
      <c r="I17" s="401" t="s">
        <v>13</v>
      </c>
      <c r="J17" s="108" t="s">
        <v>617</v>
      </c>
      <c r="K17" s="312" t="s">
        <v>11</v>
      </c>
    </row>
    <row r="18" spans="2:13" ht="56.25" customHeight="1">
      <c r="B18" s="387"/>
      <c r="C18" s="395"/>
      <c r="D18" s="406"/>
      <c r="E18" s="313"/>
      <c r="F18" s="402"/>
      <c r="G18" s="195"/>
      <c r="H18" s="399"/>
      <c r="I18" s="402"/>
      <c r="J18" s="108" t="s">
        <v>618</v>
      </c>
      <c r="K18" s="288"/>
    </row>
    <row r="19" spans="2:13" ht="62.25" customHeight="1">
      <c r="B19" s="387"/>
      <c r="C19" s="395"/>
      <c r="D19" s="406"/>
      <c r="E19" s="313"/>
      <c r="F19" s="402"/>
      <c r="G19" s="195"/>
      <c r="H19" s="399"/>
      <c r="I19" s="402"/>
      <c r="J19" s="108" t="s">
        <v>619</v>
      </c>
      <c r="K19" s="288"/>
      <c r="M19" t="s">
        <v>620</v>
      </c>
    </row>
    <row r="20" spans="2:13" ht="67.5" customHeight="1">
      <c r="B20" s="410"/>
      <c r="C20" s="395"/>
      <c r="D20" s="406"/>
      <c r="E20" s="313"/>
      <c r="F20" s="403"/>
      <c r="G20" s="195"/>
      <c r="H20" s="399"/>
      <c r="I20" s="402"/>
      <c r="J20" s="135" t="s">
        <v>621</v>
      </c>
      <c r="K20" s="313"/>
    </row>
    <row r="21" spans="2:13" ht="51" customHeight="1">
      <c r="B21" s="123">
        <v>14</v>
      </c>
      <c r="C21" s="165">
        <v>45836</v>
      </c>
      <c r="D21" s="123" t="s">
        <v>591</v>
      </c>
      <c r="E21" s="123" t="s">
        <v>592</v>
      </c>
      <c r="F21" s="134" t="s">
        <v>11</v>
      </c>
      <c r="G21" s="134"/>
      <c r="H21" s="133" t="s">
        <v>622</v>
      </c>
      <c r="I21" s="123" t="s">
        <v>13</v>
      </c>
      <c r="J21" s="108" t="s">
        <v>618</v>
      </c>
      <c r="K21" s="134" t="s">
        <v>11</v>
      </c>
    </row>
    <row r="22" spans="2:13" ht="48.75" customHeight="1">
      <c r="B22" s="123">
        <v>15</v>
      </c>
      <c r="C22" s="166">
        <v>45838</v>
      </c>
      <c r="D22" s="137" t="s">
        <v>591</v>
      </c>
      <c r="E22" s="137" t="s">
        <v>592</v>
      </c>
      <c r="F22" s="139" t="s">
        <v>11</v>
      </c>
      <c r="G22" s="139"/>
      <c r="H22" s="140" t="s">
        <v>623</v>
      </c>
      <c r="I22" s="137" t="s">
        <v>13</v>
      </c>
      <c r="J22" s="108" t="s">
        <v>304</v>
      </c>
      <c r="K22" s="139" t="s">
        <v>11</v>
      </c>
    </row>
    <row r="23" spans="2:13" ht="54.75" customHeight="1">
      <c r="B23" s="386">
        <v>16</v>
      </c>
      <c r="C23" s="392">
        <v>45839</v>
      </c>
      <c r="D23" s="365" t="s">
        <v>591</v>
      </c>
      <c r="E23" s="365" t="s">
        <v>592</v>
      </c>
      <c r="F23" s="381" t="s">
        <v>624</v>
      </c>
      <c r="G23" s="141"/>
      <c r="H23" s="376" t="s">
        <v>625</v>
      </c>
      <c r="I23" s="370" t="s">
        <v>13</v>
      </c>
      <c r="J23" s="136" t="s">
        <v>626</v>
      </c>
      <c r="K23" s="372" t="s">
        <v>11</v>
      </c>
    </row>
    <row r="24" spans="2:13" ht="51" customHeight="1">
      <c r="B24" s="410"/>
      <c r="C24" s="392"/>
      <c r="D24" s="365"/>
      <c r="E24" s="366"/>
      <c r="F24" s="366"/>
      <c r="G24" s="147"/>
      <c r="H24" s="376"/>
      <c r="I24" s="371"/>
      <c r="J24" s="135" t="s">
        <v>253</v>
      </c>
      <c r="K24" s="404"/>
    </row>
    <row r="25" spans="2:13" ht="48.75" customHeight="1">
      <c r="B25" s="123">
        <v>17</v>
      </c>
      <c r="C25" s="165">
        <v>45840</v>
      </c>
      <c r="D25" s="138" t="s">
        <v>591</v>
      </c>
      <c r="E25" s="138" t="s">
        <v>592</v>
      </c>
      <c r="F25" s="141" t="s">
        <v>627</v>
      </c>
      <c r="G25" s="141"/>
      <c r="H25" s="141" t="s">
        <v>628</v>
      </c>
      <c r="I25" s="123" t="s">
        <v>13</v>
      </c>
      <c r="J25" s="142" t="s">
        <v>629</v>
      </c>
      <c r="K25" s="134" t="s">
        <v>11</v>
      </c>
    </row>
    <row r="26" spans="2:13" ht="51.75" customHeight="1">
      <c r="B26" s="123">
        <v>18</v>
      </c>
      <c r="C26" s="165">
        <v>45841</v>
      </c>
      <c r="D26" s="138" t="s">
        <v>591</v>
      </c>
      <c r="E26" s="138" t="s">
        <v>592</v>
      </c>
      <c r="F26" s="141"/>
      <c r="G26" s="141"/>
      <c r="H26" s="141" t="s">
        <v>630</v>
      </c>
      <c r="I26" s="123"/>
      <c r="J26" s="142" t="s">
        <v>631</v>
      </c>
      <c r="K26" s="134" t="s">
        <v>11</v>
      </c>
    </row>
    <row r="27" spans="2:13" ht="54" customHeight="1">
      <c r="B27" s="123">
        <v>19</v>
      </c>
      <c r="C27" s="165">
        <v>45842</v>
      </c>
      <c r="D27" s="138" t="s">
        <v>591</v>
      </c>
      <c r="E27" s="138" t="s">
        <v>592</v>
      </c>
      <c r="F27" s="141"/>
      <c r="G27" s="141"/>
      <c r="H27" s="141" t="s">
        <v>630</v>
      </c>
      <c r="I27" s="123" t="s">
        <v>13</v>
      </c>
      <c r="J27" s="142" t="s">
        <v>632</v>
      </c>
      <c r="K27" s="134" t="s">
        <v>11</v>
      </c>
    </row>
    <row r="28" spans="2:13" ht="42" customHeight="1">
      <c r="B28" s="123">
        <v>20</v>
      </c>
      <c r="C28" s="165">
        <v>45845</v>
      </c>
      <c r="D28" s="138" t="s">
        <v>591</v>
      </c>
      <c r="E28" s="138" t="s">
        <v>592</v>
      </c>
      <c r="F28" s="141"/>
      <c r="G28" s="145"/>
      <c r="H28" s="145" t="s">
        <v>630</v>
      </c>
      <c r="I28" s="123" t="s">
        <v>13</v>
      </c>
      <c r="J28" s="142" t="s">
        <v>633</v>
      </c>
      <c r="K28" s="134" t="s">
        <v>11</v>
      </c>
    </row>
    <row r="29" spans="2:13" ht="63" customHeight="1">
      <c r="B29" s="386">
        <v>21</v>
      </c>
      <c r="C29" s="394">
        <v>45846</v>
      </c>
      <c r="D29" s="386" t="s">
        <v>591</v>
      </c>
      <c r="E29" s="386" t="s">
        <v>592</v>
      </c>
      <c r="F29" s="382"/>
      <c r="G29" s="145"/>
      <c r="H29" s="376" t="s">
        <v>634</v>
      </c>
      <c r="I29" s="380" t="s">
        <v>13</v>
      </c>
      <c r="J29" s="136" t="s">
        <v>635</v>
      </c>
      <c r="K29" s="373" t="s">
        <v>11</v>
      </c>
    </row>
    <row r="30" spans="2:13" ht="60" customHeight="1">
      <c r="B30" s="410"/>
      <c r="C30" s="395"/>
      <c r="D30" s="387"/>
      <c r="E30" s="387"/>
      <c r="F30" s="393"/>
      <c r="G30" s="193"/>
      <c r="H30" s="377"/>
      <c r="I30" s="397"/>
      <c r="J30" s="144" t="s">
        <v>636</v>
      </c>
      <c r="K30" s="391"/>
    </row>
    <row r="31" spans="2:13" ht="59.25" customHeight="1">
      <c r="B31" s="123">
        <v>22</v>
      </c>
      <c r="C31" s="165">
        <v>45847</v>
      </c>
      <c r="D31" s="138" t="s">
        <v>591</v>
      </c>
      <c r="E31" s="138" t="s">
        <v>592</v>
      </c>
      <c r="F31" s="143"/>
      <c r="G31" s="143"/>
      <c r="H31" s="141" t="s">
        <v>637</v>
      </c>
      <c r="I31" s="138" t="s">
        <v>13</v>
      </c>
      <c r="J31" s="146" t="s">
        <v>638</v>
      </c>
      <c r="K31" s="134" t="s">
        <v>11</v>
      </c>
    </row>
    <row r="32" spans="2:13" ht="59.25" customHeight="1">
      <c r="B32" s="123">
        <v>23</v>
      </c>
      <c r="C32" s="165">
        <v>45848</v>
      </c>
      <c r="D32" s="138" t="s">
        <v>591</v>
      </c>
      <c r="E32" s="138" t="s">
        <v>592</v>
      </c>
      <c r="F32" s="143"/>
      <c r="G32" s="143"/>
      <c r="H32" s="141" t="s">
        <v>639</v>
      </c>
      <c r="I32" s="138" t="s">
        <v>13</v>
      </c>
      <c r="J32" s="146" t="s">
        <v>640</v>
      </c>
      <c r="K32" s="134" t="s">
        <v>11</v>
      </c>
    </row>
    <row r="33" spans="2:11" ht="30.75" customHeight="1">
      <c r="B33" s="123">
        <v>24</v>
      </c>
      <c r="C33" s="165">
        <v>45849</v>
      </c>
      <c r="D33" s="138" t="s">
        <v>591</v>
      </c>
      <c r="E33" s="138" t="s">
        <v>592</v>
      </c>
      <c r="F33" s="143"/>
      <c r="G33" s="143"/>
      <c r="H33" s="141" t="s">
        <v>641</v>
      </c>
      <c r="I33" s="138" t="s">
        <v>13</v>
      </c>
      <c r="J33" s="134" t="s">
        <v>11</v>
      </c>
      <c r="K33" s="134" t="s">
        <v>11</v>
      </c>
    </row>
    <row r="34" spans="2:11" ht="33.75" customHeight="1">
      <c r="B34" s="123">
        <v>25</v>
      </c>
      <c r="C34" s="165">
        <v>45850</v>
      </c>
      <c r="D34" s="138" t="s">
        <v>591</v>
      </c>
      <c r="E34" s="138" t="s">
        <v>592</v>
      </c>
      <c r="F34" s="143"/>
      <c r="G34" s="143"/>
      <c r="H34" s="141" t="s">
        <v>641</v>
      </c>
      <c r="I34" s="138" t="s">
        <v>13</v>
      </c>
      <c r="J34" s="134" t="s">
        <v>11</v>
      </c>
      <c r="K34" s="134" t="s">
        <v>11</v>
      </c>
    </row>
    <row r="35" spans="2:11" ht="61.5" customHeight="1">
      <c r="B35" s="123">
        <v>26</v>
      </c>
      <c r="C35" s="165">
        <v>45852</v>
      </c>
      <c r="D35" s="138" t="s">
        <v>591</v>
      </c>
      <c r="E35" s="138" t="s">
        <v>592</v>
      </c>
      <c r="F35" s="143"/>
      <c r="G35" s="143"/>
      <c r="H35" s="141" t="s">
        <v>642</v>
      </c>
      <c r="I35" s="138" t="s">
        <v>13</v>
      </c>
      <c r="J35" s="146" t="s">
        <v>643</v>
      </c>
      <c r="K35" s="134" t="s">
        <v>11</v>
      </c>
    </row>
    <row r="36" spans="2:11" ht="39.75" customHeight="1">
      <c r="B36" s="123">
        <v>27</v>
      </c>
      <c r="C36" s="165">
        <v>45853</v>
      </c>
      <c r="D36" s="138" t="s">
        <v>591</v>
      </c>
      <c r="E36" s="138" t="s">
        <v>592</v>
      </c>
      <c r="F36" s="143"/>
      <c r="G36" s="143"/>
      <c r="H36" s="141" t="s">
        <v>630</v>
      </c>
      <c r="I36" s="138" t="s">
        <v>13</v>
      </c>
      <c r="J36" s="146" t="s">
        <v>633</v>
      </c>
      <c r="K36" s="134" t="s">
        <v>11</v>
      </c>
    </row>
    <row r="37" spans="2:11" ht="30.75" customHeight="1">
      <c r="B37" s="123">
        <v>28</v>
      </c>
      <c r="C37" s="165">
        <v>45854</v>
      </c>
      <c r="D37" s="138" t="s">
        <v>591</v>
      </c>
      <c r="E37" s="138" t="s">
        <v>592</v>
      </c>
      <c r="F37" s="143"/>
      <c r="G37" s="143"/>
      <c r="H37" s="141" t="s">
        <v>641</v>
      </c>
      <c r="I37" s="138" t="s">
        <v>13</v>
      </c>
      <c r="J37" s="134" t="s">
        <v>11</v>
      </c>
      <c r="K37" s="134" t="s">
        <v>11</v>
      </c>
    </row>
    <row r="38" spans="2:11" ht="33" customHeight="1">
      <c r="B38" s="123">
        <v>29</v>
      </c>
      <c r="C38" s="165">
        <v>45855</v>
      </c>
      <c r="D38" s="138" t="s">
        <v>591</v>
      </c>
      <c r="E38" s="138" t="s">
        <v>592</v>
      </c>
      <c r="F38" s="143"/>
      <c r="G38" s="143"/>
      <c r="H38" s="141" t="s">
        <v>641</v>
      </c>
      <c r="I38" s="138" t="s">
        <v>13</v>
      </c>
      <c r="J38" s="134" t="s">
        <v>11</v>
      </c>
      <c r="K38" s="134" t="s">
        <v>11</v>
      </c>
    </row>
    <row r="39" spans="2:11" ht="46.5" customHeight="1">
      <c r="B39" s="123">
        <v>30</v>
      </c>
      <c r="C39" s="166">
        <v>45856</v>
      </c>
      <c r="D39" s="147" t="s">
        <v>591</v>
      </c>
      <c r="E39" s="147" t="s">
        <v>592</v>
      </c>
      <c r="F39" s="147" t="s">
        <v>222</v>
      </c>
      <c r="G39" s="147"/>
      <c r="H39" s="145" t="s">
        <v>644</v>
      </c>
      <c r="I39" s="147" t="s">
        <v>13</v>
      </c>
      <c r="J39" s="135" t="s">
        <v>264</v>
      </c>
      <c r="K39" s="139" t="s">
        <v>11</v>
      </c>
    </row>
    <row r="40" spans="2:11" ht="54" customHeight="1">
      <c r="B40" s="386">
        <v>31</v>
      </c>
      <c r="C40" s="392">
        <v>45859</v>
      </c>
      <c r="D40" s="365" t="s">
        <v>591</v>
      </c>
      <c r="E40" s="365" t="s">
        <v>592</v>
      </c>
      <c r="F40" s="365" t="s">
        <v>645</v>
      </c>
      <c r="G40" s="138"/>
      <c r="H40" s="381" t="s">
        <v>644</v>
      </c>
      <c r="I40" s="365" t="s">
        <v>13</v>
      </c>
      <c r="J40" s="108" t="s">
        <v>646</v>
      </c>
      <c r="K40" s="407" t="s">
        <v>11</v>
      </c>
    </row>
    <row r="41" spans="2:11" ht="45.75" customHeight="1">
      <c r="B41" s="387"/>
      <c r="C41" s="392"/>
      <c r="D41" s="365"/>
      <c r="E41" s="365"/>
      <c r="F41" s="365"/>
      <c r="G41" s="138"/>
      <c r="H41" s="381"/>
      <c r="I41" s="365"/>
      <c r="J41" s="150" t="s">
        <v>647</v>
      </c>
      <c r="K41" s="407"/>
    </row>
    <row r="42" spans="2:11" ht="42.75" customHeight="1">
      <c r="B42" s="410"/>
      <c r="C42" s="396"/>
      <c r="D42" s="366"/>
      <c r="E42" s="366"/>
      <c r="F42" s="366"/>
      <c r="G42" s="147"/>
      <c r="H42" s="382"/>
      <c r="I42" s="366"/>
      <c r="J42" s="151" t="s">
        <v>648</v>
      </c>
      <c r="K42" s="404"/>
    </row>
    <row r="43" spans="2:11" ht="54.75" customHeight="1">
      <c r="B43" s="386">
        <v>32</v>
      </c>
      <c r="C43" s="392">
        <v>45860</v>
      </c>
      <c r="D43" s="365" t="s">
        <v>591</v>
      </c>
      <c r="E43" s="365" t="s">
        <v>592</v>
      </c>
      <c r="F43" s="381" t="s">
        <v>649</v>
      </c>
      <c r="G43" s="141"/>
      <c r="H43" s="381" t="s">
        <v>650</v>
      </c>
      <c r="I43" s="369" t="s">
        <v>13</v>
      </c>
      <c r="J43" s="136" t="s">
        <v>651</v>
      </c>
      <c r="K43" s="372" t="s">
        <v>11</v>
      </c>
    </row>
    <row r="44" spans="2:11" ht="51" customHeight="1">
      <c r="B44" s="387"/>
      <c r="C44" s="392"/>
      <c r="D44" s="365"/>
      <c r="E44" s="365"/>
      <c r="F44" s="381"/>
      <c r="G44" s="141"/>
      <c r="H44" s="381"/>
      <c r="I44" s="365"/>
      <c r="J44" s="150" t="s">
        <v>652</v>
      </c>
      <c r="K44" s="407"/>
    </row>
    <row r="45" spans="2:11" ht="45" customHeight="1">
      <c r="B45" s="410"/>
      <c r="C45" s="396"/>
      <c r="D45" s="366"/>
      <c r="E45" s="366"/>
      <c r="F45" s="382"/>
      <c r="G45" s="145"/>
      <c r="H45" s="382"/>
      <c r="I45" s="366"/>
      <c r="J45" s="151" t="s">
        <v>653</v>
      </c>
      <c r="K45" s="404"/>
    </row>
    <row r="46" spans="2:11" ht="53.25" customHeight="1">
      <c r="B46" s="386">
        <v>33</v>
      </c>
      <c r="C46" s="392">
        <v>45861</v>
      </c>
      <c r="D46" s="365" t="s">
        <v>591</v>
      </c>
      <c r="E46" s="365" t="s">
        <v>592</v>
      </c>
      <c r="F46" s="381" t="s">
        <v>649</v>
      </c>
      <c r="G46" s="141"/>
      <c r="H46" s="381" t="s">
        <v>654</v>
      </c>
      <c r="I46" s="365" t="s">
        <v>13</v>
      </c>
      <c r="J46" s="108" t="s">
        <v>655</v>
      </c>
      <c r="K46" s="407" t="s">
        <v>11</v>
      </c>
    </row>
    <row r="47" spans="2:11" ht="58.5" customHeight="1">
      <c r="B47" s="410"/>
      <c r="C47" s="396"/>
      <c r="D47" s="366"/>
      <c r="E47" s="366"/>
      <c r="F47" s="382"/>
      <c r="G47" s="145"/>
      <c r="H47" s="382"/>
      <c r="I47" s="366"/>
      <c r="J47" s="151" t="s">
        <v>656</v>
      </c>
      <c r="K47" s="404"/>
    </row>
    <row r="48" spans="2:11" ht="49.5" customHeight="1">
      <c r="B48" s="123">
        <v>34</v>
      </c>
      <c r="C48" s="165">
        <v>45862</v>
      </c>
      <c r="D48" s="138" t="s">
        <v>591</v>
      </c>
      <c r="E48" s="138" t="s">
        <v>592</v>
      </c>
      <c r="F48" s="141" t="s">
        <v>657</v>
      </c>
      <c r="G48" s="141"/>
      <c r="H48" s="133" t="s">
        <v>658</v>
      </c>
      <c r="I48" s="148" t="s">
        <v>13</v>
      </c>
      <c r="J48" s="136" t="s">
        <v>307</v>
      </c>
      <c r="K48" s="134" t="s">
        <v>11</v>
      </c>
    </row>
    <row r="49" spans="2:11" ht="50.25" customHeight="1">
      <c r="B49" s="123">
        <v>35</v>
      </c>
      <c r="C49" s="165">
        <v>45863</v>
      </c>
      <c r="D49" s="138" t="s">
        <v>591</v>
      </c>
      <c r="E49" s="138" t="s">
        <v>592</v>
      </c>
      <c r="F49" s="141" t="s">
        <v>657</v>
      </c>
      <c r="G49" s="141"/>
      <c r="H49" s="133" t="s">
        <v>658</v>
      </c>
      <c r="I49" s="149" t="s">
        <v>13</v>
      </c>
      <c r="J49" s="108" t="s">
        <v>659</v>
      </c>
      <c r="K49" s="134" t="s">
        <v>11</v>
      </c>
    </row>
    <row r="50" spans="2:11" ht="51" customHeight="1">
      <c r="B50" s="123">
        <v>36</v>
      </c>
      <c r="C50" s="165">
        <v>45864</v>
      </c>
      <c r="D50" s="138" t="s">
        <v>591</v>
      </c>
      <c r="E50" s="138" t="s">
        <v>592</v>
      </c>
      <c r="F50" s="141" t="s">
        <v>657</v>
      </c>
      <c r="G50" s="141"/>
      <c r="H50" s="133" t="s">
        <v>658</v>
      </c>
      <c r="I50" s="149" t="s">
        <v>13</v>
      </c>
      <c r="J50" s="108" t="s">
        <v>307</v>
      </c>
      <c r="K50" s="134" t="s">
        <v>11</v>
      </c>
    </row>
    <row r="51" spans="2:11" ht="48" customHeight="1">
      <c r="B51" s="123">
        <v>37</v>
      </c>
      <c r="C51" s="165">
        <v>45866</v>
      </c>
      <c r="D51" s="138" t="s">
        <v>591</v>
      </c>
      <c r="E51" s="138" t="s">
        <v>592</v>
      </c>
      <c r="F51" s="141"/>
      <c r="G51" s="141"/>
      <c r="H51" s="133" t="s">
        <v>660</v>
      </c>
      <c r="I51" s="149" t="s">
        <v>13</v>
      </c>
      <c r="J51" s="108" t="s">
        <v>307</v>
      </c>
      <c r="K51" s="134" t="s">
        <v>11</v>
      </c>
    </row>
    <row r="52" spans="2:11" ht="45" customHeight="1">
      <c r="B52" s="123">
        <v>38</v>
      </c>
      <c r="C52" s="166">
        <v>45867</v>
      </c>
      <c r="D52" s="147" t="s">
        <v>591</v>
      </c>
      <c r="E52" s="147" t="s">
        <v>592</v>
      </c>
      <c r="F52" s="145"/>
      <c r="G52" s="145"/>
      <c r="H52" s="140" t="s">
        <v>661</v>
      </c>
      <c r="I52" s="152" t="s">
        <v>13</v>
      </c>
      <c r="J52" s="135" t="s">
        <v>618</v>
      </c>
      <c r="K52" s="139" t="s">
        <v>11</v>
      </c>
    </row>
    <row r="53" spans="2:11" ht="48" customHeight="1">
      <c r="B53" s="386">
        <v>39</v>
      </c>
      <c r="C53" s="392">
        <v>45868</v>
      </c>
      <c r="D53" s="365" t="s">
        <v>591</v>
      </c>
      <c r="E53" s="365" t="s">
        <v>592</v>
      </c>
      <c r="F53" s="381" t="s">
        <v>662</v>
      </c>
      <c r="G53" s="141"/>
      <c r="H53" s="381" t="s">
        <v>663</v>
      </c>
      <c r="I53" s="365" t="s">
        <v>13</v>
      </c>
      <c r="J53" s="153" t="s">
        <v>664</v>
      </c>
      <c r="K53" s="372" t="s">
        <v>11</v>
      </c>
    </row>
    <row r="54" spans="2:11" ht="48" customHeight="1">
      <c r="B54" s="387"/>
      <c r="C54" s="392"/>
      <c r="D54" s="365"/>
      <c r="E54" s="365"/>
      <c r="F54" s="381"/>
      <c r="G54" s="141"/>
      <c r="H54" s="381"/>
      <c r="I54" s="365"/>
      <c r="J54" s="146" t="s">
        <v>665</v>
      </c>
      <c r="K54" s="372"/>
    </row>
    <row r="55" spans="2:11" ht="48.75" customHeight="1">
      <c r="B55" s="410"/>
      <c r="C55" s="392"/>
      <c r="D55" s="365"/>
      <c r="E55" s="365"/>
      <c r="F55" s="381"/>
      <c r="G55" s="141"/>
      <c r="H55" s="381"/>
      <c r="I55" s="365"/>
      <c r="J55" s="146" t="s">
        <v>666</v>
      </c>
      <c r="K55" s="372"/>
    </row>
    <row r="56" spans="2:11" ht="52.5" customHeight="1">
      <c r="B56" s="386">
        <v>40</v>
      </c>
      <c r="C56" s="392">
        <v>45869</v>
      </c>
      <c r="D56" s="365" t="s">
        <v>591</v>
      </c>
      <c r="E56" s="365" t="s">
        <v>592</v>
      </c>
      <c r="F56" s="381" t="s">
        <v>662</v>
      </c>
      <c r="G56" s="141"/>
      <c r="H56" s="381" t="s">
        <v>667</v>
      </c>
      <c r="I56" s="365" t="s">
        <v>13</v>
      </c>
      <c r="J56" s="153" t="s">
        <v>668</v>
      </c>
      <c r="K56" s="372" t="s">
        <v>11</v>
      </c>
    </row>
    <row r="57" spans="2:11" ht="56.25" customHeight="1">
      <c r="B57" s="387"/>
      <c r="C57" s="392"/>
      <c r="D57" s="365"/>
      <c r="E57" s="365"/>
      <c r="F57" s="381"/>
      <c r="G57" s="141"/>
      <c r="H57" s="381"/>
      <c r="I57" s="365"/>
      <c r="J57" s="146" t="s">
        <v>267</v>
      </c>
      <c r="K57" s="372"/>
    </row>
    <row r="58" spans="2:11" ht="54" customHeight="1">
      <c r="B58" s="410"/>
      <c r="C58" s="392"/>
      <c r="D58" s="365"/>
      <c r="E58" s="365"/>
      <c r="F58" s="381"/>
      <c r="G58" s="141"/>
      <c r="H58" s="381"/>
      <c r="I58" s="365"/>
      <c r="J58" s="146" t="s">
        <v>266</v>
      </c>
      <c r="K58" s="372"/>
    </row>
    <row r="59" spans="2:11" ht="53.25" customHeight="1">
      <c r="B59" s="123">
        <v>41</v>
      </c>
      <c r="C59" s="165">
        <v>45870</v>
      </c>
      <c r="D59" s="138" t="s">
        <v>591</v>
      </c>
      <c r="E59" s="138" t="s">
        <v>592</v>
      </c>
      <c r="F59" s="141" t="s">
        <v>669</v>
      </c>
      <c r="G59" s="141"/>
      <c r="H59" s="141" t="s">
        <v>670</v>
      </c>
      <c r="I59" s="138" t="s">
        <v>13</v>
      </c>
      <c r="J59" s="153" t="s">
        <v>269</v>
      </c>
      <c r="K59" s="134" t="s">
        <v>11</v>
      </c>
    </row>
    <row r="60" spans="2:11" ht="43.5">
      <c r="B60" s="123">
        <v>42</v>
      </c>
      <c r="C60" s="166">
        <v>45873</v>
      </c>
      <c r="D60" s="147" t="s">
        <v>591</v>
      </c>
      <c r="E60" s="147" t="s">
        <v>592</v>
      </c>
      <c r="F60" s="145" t="s">
        <v>669</v>
      </c>
      <c r="G60" s="145"/>
      <c r="H60" s="145" t="s">
        <v>671</v>
      </c>
      <c r="I60" s="147" t="s">
        <v>13</v>
      </c>
      <c r="J60" s="153" t="s">
        <v>312</v>
      </c>
      <c r="K60" s="139" t="s">
        <v>11</v>
      </c>
    </row>
    <row r="61" spans="2:11" ht="57" customHeight="1">
      <c r="B61" s="386">
        <v>43</v>
      </c>
      <c r="C61" s="392">
        <v>45874</v>
      </c>
      <c r="D61" s="365" t="s">
        <v>591</v>
      </c>
      <c r="E61" s="365" t="s">
        <v>592</v>
      </c>
      <c r="F61" s="381" t="s">
        <v>662</v>
      </c>
      <c r="G61" s="141"/>
      <c r="H61" s="381" t="s">
        <v>672</v>
      </c>
      <c r="I61" s="369" t="s">
        <v>13</v>
      </c>
      <c r="J61" s="136" t="s">
        <v>310</v>
      </c>
      <c r="K61" s="372" t="s">
        <v>11</v>
      </c>
    </row>
    <row r="62" spans="2:11" ht="49.5" customHeight="1">
      <c r="B62" s="387"/>
      <c r="C62" s="392"/>
      <c r="D62" s="365"/>
      <c r="E62" s="365"/>
      <c r="F62" s="381"/>
      <c r="G62" s="141"/>
      <c r="H62" s="381"/>
      <c r="I62" s="365"/>
      <c r="J62" s="146" t="s">
        <v>673</v>
      </c>
      <c r="K62" s="372"/>
    </row>
    <row r="63" spans="2:11" ht="46.5" customHeight="1">
      <c r="B63" s="410"/>
      <c r="C63" s="396"/>
      <c r="D63" s="366"/>
      <c r="E63" s="366"/>
      <c r="F63" s="382"/>
      <c r="G63" s="145"/>
      <c r="H63" s="382"/>
      <c r="I63" s="366"/>
      <c r="J63" s="146" t="s">
        <v>674</v>
      </c>
      <c r="K63" s="373"/>
    </row>
    <row r="64" spans="2:11" ht="51.75" customHeight="1">
      <c r="B64" s="386">
        <v>44</v>
      </c>
      <c r="C64" s="392">
        <v>45875</v>
      </c>
      <c r="D64" s="365" t="s">
        <v>591</v>
      </c>
      <c r="E64" s="365" t="s">
        <v>592</v>
      </c>
      <c r="F64" s="381" t="s">
        <v>675</v>
      </c>
      <c r="G64" s="141"/>
      <c r="H64" s="381" t="s">
        <v>676</v>
      </c>
      <c r="I64" s="369" t="s">
        <v>13</v>
      </c>
      <c r="J64" s="136" t="s">
        <v>310</v>
      </c>
      <c r="K64" s="372" t="s">
        <v>11</v>
      </c>
    </row>
    <row r="65" spans="2:11" ht="49.5" customHeight="1">
      <c r="B65" s="410"/>
      <c r="C65" s="392"/>
      <c r="D65" s="365"/>
      <c r="E65" s="365"/>
      <c r="F65" s="381"/>
      <c r="G65" s="141"/>
      <c r="H65" s="381"/>
      <c r="I65" s="369"/>
      <c r="J65" s="154" t="s">
        <v>309</v>
      </c>
      <c r="K65" s="372"/>
    </row>
    <row r="66" spans="2:11" ht="45" customHeight="1">
      <c r="B66" s="386">
        <v>45</v>
      </c>
      <c r="C66" s="392">
        <v>45876</v>
      </c>
      <c r="D66" s="365" t="s">
        <v>591</v>
      </c>
      <c r="E66" s="365" t="s">
        <v>592</v>
      </c>
      <c r="F66" s="381" t="s">
        <v>669</v>
      </c>
      <c r="G66" s="141"/>
      <c r="H66" s="381" t="s">
        <v>677</v>
      </c>
      <c r="I66" s="369" t="s">
        <v>13</v>
      </c>
      <c r="J66" s="136" t="s">
        <v>269</v>
      </c>
      <c r="K66" s="372" t="s">
        <v>11</v>
      </c>
    </row>
    <row r="67" spans="2:11" ht="45.75" customHeight="1">
      <c r="B67" s="410"/>
      <c r="C67" s="396"/>
      <c r="D67" s="366"/>
      <c r="E67" s="366"/>
      <c r="F67" s="382"/>
      <c r="G67" s="145"/>
      <c r="H67" s="382"/>
      <c r="I67" s="386"/>
      <c r="J67" s="155" t="s">
        <v>312</v>
      </c>
      <c r="K67" s="373"/>
    </row>
    <row r="68" spans="2:11" ht="45.75" customHeight="1">
      <c r="B68" s="123">
        <v>46</v>
      </c>
      <c r="C68" s="163">
        <v>45877</v>
      </c>
      <c r="D68" s="123" t="s">
        <v>591</v>
      </c>
      <c r="E68" s="123" t="s">
        <v>592</v>
      </c>
      <c r="F68" s="133"/>
      <c r="G68" s="133"/>
      <c r="H68" s="133" t="s">
        <v>678</v>
      </c>
      <c r="I68" s="123" t="s">
        <v>13</v>
      </c>
      <c r="J68" s="108" t="s">
        <v>679</v>
      </c>
      <c r="K68" s="134" t="s">
        <v>11</v>
      </c>
    </row>
    <row r="69" spans="2:11" ht="63" customHeight="1">
      <c r="B69" s="123">
        <v>47</v>
      </c>
      <c r="C69" s="164">
        <v>45878</v>
      </c>
      <c r="D69" s="137" t="s">
        <v>591</v>
      </c>
      <c r="E69" s="137" t="s">
        <v>592</v>
      </c>
      <c r="F69" s="140"/>
      <c r="G69" s="140"/>
      <c r="H69" s="140" t="s">
        <v>680</v>
      </c>
      <c r="I69" s="137" t="s">
        <v>13</v>
      </c>
      <c r="J69" s="135" t="s">
        <v>681</v>
      </c>
      <c r="K69" s="139" t="s">
        <v>11</v>
      </c>
    </row>
    <row r="70" spans="2:11" ht="45" customHeight="1">
      <c r="B70" s="386">
        <v>48</v>
      </c>
      <c r="C70" s="409">
        <v>45880</v>
      </c>
      <c r="D70" s="408" t="s">
        <v>591</v>
      </c>
      <c r="E70" s="365" t="s">
        <v>592</v>
      </c>
      <c r="F70" s="381"/>
      <c r="G70" s="141"/>
      <c r="H70" s="381" t="s">
        <v>682</v>
      </c>
      <c r="I70" s="365" t="s">
        <v>13</v>
      </c>
      <c r="J70" s="153" t="s">
        <v>304</v>
      </c>
      <c r="K70" s="372" t="s">
        <v>11</v>
      </c>
    </row>
    <row r="71" spans="2:11" ht="51" customHeight="1">
      <c r="B71" s="410"/>
      <c r="C71" s="409"/>
      <c r="D71" s="408"/>
      <c r="E71" s="365"/>
      <c r="F71" s="381"/>
      <c r="G71" s="141"/>
      <c r="H71" s="381"/>
      <c r="I71" s="365"/>
      <c r="J71" s="153" t="s">
        <v>683</v>
      </c>
      <c r="K71" s="372"/>
    </row>
    <row r="72" spans="2:11" ht="50.25" customHeight="1">
      <c r="B72" s="386">
        <v>49</v>
      </c>
      <c r="C72" s="409">
        <v>45881</v>
      </c>
      <c r="D72" s="408" t="s">
        <v>591</v>
      </c>
      <c r="E72" s="365" t="s">
        <v>592</v>
      </c>
      <c r="F72" s="381"/>
      <c r="G72" s="141"/>
      <c r="H72" s="381" t="s">
        <v>684</v>
      </c>
      <c r="I72" s="365" t="s">
        <v>13</v>
      </c>
      <c r="J72" s="157" t="s">
        <v>306</v>
      </c>
      <c r="K72" s="372" t="s">
        <v>11</v>
      </c>
    </row>
    <row r="73" spans="2:11" ht="51" customHeight="1">
      <c r="B73" s="410"/>
      <c r="C73" s="409"/>
      <c r="D73" s="408"/>
      <c r="E73" s="365"/>
      <c r="F73" s="381"/>
      <c r="G73" s="141"/>
      <c r="H73" s="381"/>
      <c r="I73" s="365"/>
      <c r="J73" s="157" t="s">
        <v>262</v>
      </c>
      <c r="K73" s="373"/>
    </row>
    <row r="74" spans="2:11" ht="43.5">
      <c r="B74" s="386">
        <v>50</v>
      </c>
      <c r="C74" s="409">
        <v>45882</v>
      </c>
      <c r="D74" s="408" t="s">
        <v>591</v>
      </c>
      <c r="E74" s="365" t="s">
        <v>592</v>
      </c>
      <c r="F74" s="381"/>
      <c r="G74" s="141"/>
      <c r="H74" s="381" t="s">
        <v>685</v>
      </c>
      <c r="I74" s="365" t="s">
        <v>13</v>
      </c>
      <c r="J74" s="159" t="s">
        <v>302</v>
      </c>
      <c r="K74" s="372" t="s">
        <v>11</v>
      </c>
    </row>
    <row r="75" spans="2:11" ht="43.5">
      <c r="B75" s="410"/>
      <c r="C75" s="409"/>
      <c r="D75" s="408"/>
      <c r="E75" s="365"/>
      <c r="F75" s="381"/>
      <c r="G75" s="141"/>
      <c r="H75" s="381"/>
      <c r="I75" s="365"/>
      <c r="J75" s="159" t="s">
        <v>303</v>
      </c>
      <c r="K75" s="373"/>
    </row>
    <row r="76" spans="2:11" ht="43.5">
      <c r="B76" s="386">
        <v>51</v>
      </c>
      <c r="C76" s="409">
        <v>45883</v>
      </c>
      <c r="D76" s="408" t="s">
        <v>591</v>
      </c>
      <c r="E76" s="365" t="s">
        <v>592</v>
      </c>
      <c r="F76" s="381"/>
      <c r="G76" s="141"/>
      <c r="H76" s="381" t="s">
        <v>686</v>
      </c>
      <c r="I76" s="365" t="s">
        <v>13</v>
      </c>
      <c r="J76" s="157" t="s">
        <v>296</v>
      </c>
      <c r="K76" s="372" t="s">
        <v>11</v>
      </c>
    </row>
    <row r="77" spans="2:11" ht="43.5">
      <c r="B77" s="410"/>
      <c r="C77" s="409"/>
      <c r="D77" s="408"/>
      <c r="E77" s="365"/>
      <c r="F77" s="381"/>
      <c r="G77" s="141"/>
      <c r="H77" s="381"/>
      <c r="I77" s="365"/>
      <c r="J77" s="157" t="s">
        <v>297</v>
      </c>
      <c r="K77" s="372"/>
    </row>
    <row r="78" spans="2:11" ht="48.75" customHeight="1">
      <c r="B78" s="386">
        <v>52</v>
      </c>
      <c r="C78" s="409">
        <v>45887</v>
      </c>
      <c r="D78" s="408" t="s">
        <v>591</v>
      </c>
      <c r="E78" s="365" t="s">
        <v>592</v>
      </c>
      <c r="F78" s="381"/>
      <c r="G78" s="141"/>
      <c r="H78" s="381" t="s">
        <v>687</v>
      </c>
      <c r="I78" s="365" t="s">
        <v>13</v>
      </c>
      <c r="J78" s="157" t="s">
        <v>300</v>
      </c>
      <c r="K78" s="372" t="s">
        <v>11</v>
      </c>
    </row>
    <row r="79" spans="2:11" ht="47.25" customHeight="1">
      <c r="B79" s="410"/>
      <c r="C79" s="394"/>
      <c r="D79" s="371"/>
      <c r="E79" s="365"/>
      <c r="F79" s="381"/>
      <c r="G79" s="141"/>
      <c r="H79" s="381"/>
      <c r="I79" s="365"/>
      <c r="J79" s="157" t="s">
        <v>301</v>
      </c>
      <c r="K79" s="372"/>
    </row>
    <row r="80" spans="2:11" ht="48.75" customHeight="1">
      <c r="B80" s="123">
        <v>53</v>
      </c>
      <c r="C80" s="165">
        <v>45888</v>
      </c>
      <c r="D80" s="123" t="s">
        <v>591</v>
      </c>
      <c r="E80" s="149" t="s">
        <v>592</v>
      </c>
      <c r="F80" s="141" t="s">
        <v>227</v>
      </c>
      <c r="G80" s="145"/>
      <c r="H80" s="145" t="s">
        <v>688</v>
      </c>
      <c r="I80" s="138" t="s">
        <v>13</v>
      </c>
      <c r="J80" s="157" t="s">
        <v>268</v>
      </c>
      <c r="K80" s="134" t="s">
        <v>11</v>
      </c>
    </row>
    <row r="81" spans="2:11" ht="49.5" customHeight="1">
      <c r="B81" s="123">
        <v>54</v>
      </c>
      <c r="C81" s="165">
        <v>45889</v>
      </c>
      <c r="D81" s="123" t="s">
        <v>591</v>
      </c>
      <c r="E81" s="149" t="s">
        <v>592</v>
      </c>
      <c r="F81" s="141" t="s">
        <v>227</v>
      </c>
      <c r="G81" s="141"/>
      <c r="H81" s="133" t="s">
        <v>689</v>
      </c>
      <c r="I81" s="138" t="s">
        <v>13</v>
      </c>
      <c r="J81" s="157" t="s">
        <v>311</v>
      </c>
      <c r="K81" s="134" t="s">
        <v>11</v>
      </c>
    </row>
    <row r="82" spans="2:11" ht="43.5">
      <c r="B82" s="123">
        <v>55</v>
      </c>
      <c r="C82" s="165">
        <v>45890</v>
      </c>
      <c r="D82" s="123" t="s">
        <v>591</v>
      </c>
      <c r="E82" s="149" t="s">
        <v>592</v>
      </c>
      <c r="F82" s="160"/>
      <c r="G82" s="178"/>
      <c r="H82" s="140" t="s">
        <v>690</v>
      </c>
      <c r="I82" s="138" t="s">
        <v>13</v>
      </c>
      <c r="J82" s="157" t="s">
        <v>248</v>
      </c>
      <c r="K82" s="134" t="s">
        <v>11</v>
      </c>
    </row>
    <row r="83" spans="2:11" ht="43.5">
      <c r="B83" s="123">
        <v>56</v>
      </c>
      <c r="C83" s="166">
        <v>45891</v>
      </c>
      <c r="D83" s="137" t="s">
        <v>591</v>
      </c>
      <c r="E83" s="152" t="s">
        <v>592</v>
      </c>
      <c r="F83" s="145" t="s">
        <v>313</v>
      </c>
      <c r="G83" s="145"/>
      <c r="H83" s="140" t="s">
        <v>691</v>
      </c>
      <c r="I83" s="152" t="s">
        <v>13</v>
      </c>
      <c r="J83" s="158" t="s">
        <v>692</v>
      </c>
      <c r="K83" s="139" t="s">
        <v>11</v>
      </c>
    </row>
    <row r="84" spans="2:11" ht="45.75" customHeight="1">
      <c r="B84" s="386">
        <v>57</v>
      </c>
      <c r="C84" s="392">
        <v>45892</v>
      </c>
      <c r="D84" s="365" t="s">
        <v>591</v>
      </c>
      <c r="E84" s="365" t="s">
        <v>592</v>
      </c>
      <c r="F84" s="381" t="s">
        <v>313</v>
      </c>
      <c r="G84" s="141"/>
      <c r="H84" s="381" t="s">
        <v>693</v>
      </c>
      <c r="I84" s="365" t="s">
        <v>13</v>
      </c>
      <c r="J84" s="159" t="s">
        <v>271</v>
      </c>
      <c r="K84" s="372" t="s">
        <v>11</v>
      </c>
    </row>
    <row r="85" spans="2:11" ht="50.25" customHeight="1">
      <c r="B85" s="410"/>
      <c r="C85" s="392"/>
      <c r="D85" s="365"/>
      <c r="E85" s="365"/>
      <c r="F85" s="381"/>
      <c r="G85" s="141"/>
      <c r="H85" s="381"/>
      <c r="I85" s="365"/>
      <c r="J85" s="146" t="s">
        <v>694</v>
      </c>
      <c r="K85" s="372"/>
    </row>
    <row r="86" spans="2:11" ht="49.5" customHeight="1">
      <c r="B86" s="386">
        <v>58</v>
      </c>
      <c r="C86" s="394">
        <v>45894</v>
      </c>
      <c r="D86" s="386" t="s">
        <v>591</v>
      </c>
      <c r="E86" s="386" t="s">
        <v>592</v>
      </c>
      <c r="F86" s="381" t="s">
        <v>313</v>
      </c>
      <c r="G86" s="141"/>
      <c r="H86" s="381" t="s">
        <v>695</v>
      </c>
      <c r="I86" s="365" t="s">
        <v>13</v>
      </c>
      <c r="J86" s="159" t="s">
        <v>271</v>
      </c>
      <c r="K86" s="372" t="s">
        <v>11</v>
      </c>
    </row>
    <row r="87" spans="2:11" ht="45" customHeight="1">
      <c r="B87" s="410"/>
      <c r="C87" s="395"/>
      <c r="D87" s="387"/>
      <c r="E87" s="387"/>
      <c r="F87" s="382"/>
      <c r="G87" s="145"/>
      <c r="H87" s="382"/>
      <c r="I87" s="366"/>
      <c r="J87" s="146" t="s">
        <v>273</v>
      </c>
      <c r="K87" s="373"/>
    </row>
    <row r="88" spans="2:11" ht="44.25" customHeight="1">
      <c r="B88" s="123">
        <v>59</v>
      </c>
      <c r="C88" s="165">
        <v>45895</v>
      </c>
      <c r="D88" s="138" t="s">
        <v>591</v>
      </c>
      <c r="E88" s="138" t="s">
        <v>592</v>
      </c>
      <c r="F88" s="141" t="s">
        <v>696</v>
      </c>
      <c r="G88" s="141"/>
      <c r="H88" s="141" t="s">
        <v>697</v>
      </c>
      <c r="I88" s="123" t="s">
        <v>13</v>
      </c>
      <c r="J88" s="162" t="s">
        <v>275</v>
      </c>
      <c r="K88" s="134" t="s">
        <v>11</v>
      </c>
    </row>
    <row r="89" spans="2:11" ht="47.25" customHeight="1">
      <c r="B89" s="137">
        <v>60</v>
      </c>
      <c r="C89" s="166">
        <v>45897</v>
      </c>
      <c r="D89" s="147" t="s">
        <v>591</v>
      </c>
      <c r="E89" s="147" t="s">
        <v>592</v>
      </c>
      <c r="F89" s="145" t="s">
        <v>696</v>
      </c>
      <c r="G89" s="145"/>
      <c r="H89" s="145" t="s">
        <v>698</v>
      </c>
      <c r="I89" s="137" t="s">
        <v>13</v>
      </c>
      <c r="J89" s="162" t="s">
        <v>315</v>
      </c>
      <c r="K89" s="139" t="s">
        <v>11</v>
      </c>
    </row>
    <row r="90" spans="2:11" ht="54" customHeight="1">
      <c r="B90" s="365">
        <v>61</v>
      </c>
      <c r="C90" s="367">
        <v>45898</v>
      </c>
      <c r="D90" s="365" t="s">
        <v>591</v>
      </c>
      <c r="E90" s="365" t="s">
        <v>592</v>
      </c>
      <c r="F90" s="376" t="s">
        <v>313</v>
      </c>
      <c r="G90" s="171"/>
      <c r="H90" s="376" t="s">
        <v>699</v>
      </c>
      <c r="I90" s="370" t="s">
        <v>13</v>
      </c>
      <c r="J90" s="168" t="s">
        <v>271</v>
      </c>
      <c r="K90" s="372" t="s">
        <v>11</v>
      </c>
    </row>
    <row r="91" spans="2:11" ht="48.75" customHeight="1">
      <c r="B91" s="365"/>
      <c r="C91" s="367"/>
      <c r="D91" s="365"/>
      <c r="E91" s="365"/>
      <c r="F91" s="376"/>
      <c r="G91" s="171"/>
      <c r="H91" s="376"/>
      <c r="I91" s="371"/>
      <c r="J91" s="169" t="s">
        <v>700</v>
      </c>
      <c r="K91" s="373"/>
    </row>
    <row r="92" spans="2:11" ht="52.5" customHeight="1">
      <c r="B92" s="138">
        <v>62</v>
      </c>
      <c r="C92" s="170">
        <v>45899</v>
      </c>
      <c r="D92" s="138" t="s">
        <v>591</v>
      </c>
      <c r="E92" s="138" t="s">
        <v>592</v>
      </c>
      <c r="F92" s="133"/>
      <c r="G92" s="171"/>
      <c r="H92" s="133" t="s">
        <v>701</v>
      </c>
      <c r="I92" s="148" t="s">
        <v>13</v>
      </c>
      <c r="J92" s="162" t="s">
        <v>314</v>
      </c>
      <c r="K92" s="134" t="s">
        <v>11</v>
      </c>
    </row>
    <row r="93" spans="2:11" ht="46.5" customHeight="1">
      <c r="B93" s="138">
        <v>63</v>
      </c>
      <c r="C93" s="170">
        <v>45901</v>
      </c>
      <c r="D93" s="138" t="s">
        <v>591</v>
      </c>
      <c r="E93" s="138" t="s">
        <v>592</v>
      </c>
      <c r="F93" s="133"/>
      <c r="G93" s="171"/>
      <c r="H93" s="133" t="s">
        <v>702</v>
      </c>
      <c r="I93" s="148" t="s">
        <v>13</v>
      </c>
      <c r="J93" s="162" t="s">
        <v>703</v>
      </c>
      <c r="K93" s="134" t="s">
        <v>11</v>
      </c>
    </row>
    <row r="94" spans="2:11" ht="29.25">
      <c r="B94" s="138">
        <v>64</v>
      </c>
      <c r="C94" s="170">
        <v>45902</v>
      </c>
      <c r="D94" s="138" t="s">
        <v>591</v>
      </c>
      <c r="E94" s="138" t="s">
        <v>592</v>
      </c>
      <c r="F94" s="133"/>
      <c r="G94" s="171"/>
      <c r="H94" s="133" t="s">
        <v>704</v>
      </c>
      <c r="I94" s="148" t="s">
        <v>13</v>
      </c>
      <c r="J94" s="134" t="s">
        <v>11</v>
      </c>
      <c r="K94" s="134" t="s">
        <v>11</v>
      </c>
    </row>
    <row r="95" spans="2:11" ht="43.5">
      <c r="B95" s="138">
        <v>65</v>
      </c>
      <c r="C95" s="170">
        <v>45903</v>
      </c>
      <c r="D95" s="138" t="s">
        <v>591</v>
      </c>
      <c r="E95" s="138" t="s">
        <v>592</v>
      </c>
      <c r="F95" s="133"/>
      <c r="G95" s="171"/>
      <c r="H95" s="133" t="s">
        <v>705</v>
      </c>
      <c r="I95" s="148" t="s">
        <v>13</v>
      </c>
      <c r="J95" s="134" t="s">
        <v>11</v>
      </c>
      <c r="K95" s="134" t="s">
        <v>11</v>
      </c>
    </row>
    <row r="96" spans="2:11" ht="43.5">
      <c r="B96" s="138">
        <v>66</v>
      </c>
      <c r="C96" s="170">
        <v>45904</v>
      </c>
      <c r="D96" s="138" t="s">
        <v>591</v>
      </c>
      <c r="E96" s="138" t="s">
        <v>592</v>
      </c>
      <c r="F96" s="133"/>
      <c r="G96" s="171"/>
      <c r="H96" s="133" t="s">
        <v>705</v>
      </c>
      <c r="I96" s="148" t="s">
        <v>13</v>
      </c>
      <c r="J96" s="134" t="s">
        <v>11</v>
      </c>
      <c r="K96" s="134" t="s">
        <v>11</v>
      </c>
    </row>
    <row r="97" spans="2:11" ht="43.5">
      <c r="B97" s="138">
        <v>67</v>
      </c>
      <c r="C97" s="170">
        <v>45905</v>
      </c>
      <c r="D97" s="138" t="s">
        <v>591</v>
      </c>
      <c r="E97" s="138" t="s">
        <v>592</v>
      </c>
      <c r="F97" s="133"/>
      <c r="G97" s="172"/>
      <c r="H97" s="133" t="s">
        <v>705</v>
      </c>
      <c r="I97" s="148" t="s">
        <v>13</v>
      </c>
      <c r="J97" s="134" t="s">
        <v>11</v>
      </c>
      <c r="K97" s="134" t="s">
        <v>11</v>
      </c>
    </row>
    <row r="98" spans="2:11" ht="49.5" customHeight="1">
      <c r="B98" s="138">
        <v>68</v>
      </c>
      <c r="C98" s="170">
        <v>45908</v>
      </c>
      <c r="D98" s="138" t="s">
        <v>591</v>
      </c>
      <c r="E98" s="138" t="s">
        <v>592</v>
      </c>
      <c r="F98" s="141"/>
      <c r="G98" s="141"/>
      <c r="H98" s="206" t="s">
        <v>706</v>
      </c>
      <c r="I98" s="148" t="s">
        <v>13</v>
      </c>
      <c r="J98" s="134" t="s">
        <v>11</v>
      </c>
      <c r="K98" s="134" t="s">
        <v>11</v>
      </c>
    </row>
    <row r="99" spans="2:11" ht="54.75" customHeight="1">
      <c r="B99" s="138">
        <v>69</v>
      </c>
      <c r="C99" s="170">
        <v>45909</v>
      </c>
      <c r="D99" s="138" t="s">
        <v>591</v>
      </c>
      <c r="E99" s="138" t="s">
        <v>592</v>
      </c>
      <c r="F99" s="141"/>
      <c r="G99" s="145"/>
      <c r="H99" s="140" t="s">
        <v>706</v>
      </c>
      <c r="I99" s="148" t="s">
        <v>13</v>
      </c>
      <c r="J99" s="134" t="s">
        <v>11</v>
      </c>
      <c r="K99" s="134" t="s">
        <v>11</v>
      </c>
    </row>
    <row r="100" spans="2:11" ht="61.5" customHeight="1">
      <c r="B100" s="138">
        <v>70</v>
      </c>
      <c r="C100" s="170">
        <v>45910</v>
      </c>
      <c r="D100" s="138" t="s">
        <v>591</v>
      </c>
      <c r="E100" s="138" t="s">
        <v>592</v>
      </c>
      <c r="F100" s="141" t="s">
        <v>707</v>
      </c>
      <c r="G100" s="141"/>
      <c r="H100" s="133" t="s">
        <v>708</v>
      </c>
      <c r="I100" s="148" t="s">
        <v>13</v>
      </c>
      <c r="J100" s="108" t="s">
        <v>279</v>
      </c>
      <c r="K100" s="134" t="s">
        <v>11</v>
      </c>
    </row>
    <row r="101" spans="2:11" ht="63" customHeight="1">
      <c r="B101" s="138">
        <v>71</v>
      </c>
      <c r="C101" s="170">
        <v>45911</v>
      </c>
      <c r="D101" s="138" t="s">
        <v>591</v>
      </c>
      <c r="E101" s="138" t="s">
        <v>592</v>
      </c>
      <c r="F101" s="141" t="s">
        <v>276</v>
      </c>
      <c r="G101" s="141"/>
      <c r="H101" s="133" t="s">
        <v>709</v>
      </c>
      <c r="I101" s="148" t="s">
        <v>13</v>
      </c>
      <c r="J101" s="108" t="s">
        <v>710</v>
      </c>
      <c r="K101" s="134" t="s">
        <v>11</v>
      </c>
    </row>
    <row r="102" spans="2:11" ht="63.75" customHeight="1">
      <c r="B102" s="138">
        <v>72</v>
      </c>
      <c r="C102" s="170">
        <v>45912</v>
      </c>
      <c r="D102" s="138" t="s">
        <v>591</v>
      </c>
      <c r="E102" s="138" t="s">
        <v>592</v>
      </c>
      <c r="F102" s="141" t="s">
        <v>276</v>
      </c>
      <c r="G102" s="141"/>
      <c r="H102" s="133" t="s">
        <v>711</v>
      </c>
      <c r="I102" s="148" t="s">
        <v>13</v>
      </c>
      <c r="J102" s="108" t="s">
        <v>710</v>
      </c>
      <c r="K102" s="134" t="s">
        <v>11</v>
      </c>
    </row>
    <row r="103" spans="2:11" ht="61.5" customHeight="1">
      <c r="B103" s="138">
        <v>73</v>
      </c>
      <c r="C103" s="170">
        <v>45913</v>
      </c>
      <c r="D103" s="138" t="s">
        <v>591</v>
      </c>
      <c r="E103" s="138" t="s">
        <v>592</v>
      </c>
      <c r="F103" s="141" t="s">
        <v>712</v>
      </c>
      <c r="G103" s="141"/>
      <c r="H103" s="133" t="s">
        <v>713</v>
      </c>
      <c r="I103" s="148" t="s">
        <v>13</v>
      </c>
      <c r="J103" s="108" t="s">
        <v>280</v>
      </c>
      <c r="K103" s="134" t="s">
        <v>11</v>
      </c>
    </row>
    <row r="104" spans="2:11" ht="57.75">
      <c r="B104" s="138">
        <v>74</v>
      </c>
      <c r="C104" s="170">
        <v>45915</v>
      </c>
      <c r="D104" s="138" t="s">
        <v>591</v>
      </c>
      <c r="E104" s="138" t="s">
        <v>592</v>
      </c>
      <c r="F104" s="141" t="s">
        <v>712</v>
      </c>
      <c r="G104" s="141"/>
      <c r="H104" s="133" t="s">
        <v>714</v>
      </c>
      <c r="I104" s="148" t="s">
        <v>13</v>
      </c>
      <c r="J104" s="108" t="s">
        <v>280</v>
      </c>
      <c r="K104" s="134" t="s">
        <v>11</v>
      </c>
    </row>
    <row r="105" spans="2:11" ht="57.75">
      <c r="B105" s="138">
        <v>75</v>
      </c>
      <c r="C105" s="170">
        <v>45916</v>
      </c>
      <c r="D105" s="138" t="s">
        <v>591</v>
      </c>
      <c r="E105" s="138" t="s">
        <v>592</v>
      </c>
      <c r="F105" s="145" t="s">
        <v>712</v>
      </c>
      <c r="G105" s="145"/>
      <c r="H105" s="140" t="s">
        <v>715</v>
      </c>
      <c r="I105" s="148" t="s">
        <v>13</v>
      </c>
      <c r="J105" s="108" t="s">
        <v>280</v>
      </c>
      <c r="K105" s="134" t="s">
        <v>11</v>
      </c>
    </row>
    <row r="106" spans="2:11" ht="43.5" customHeight="1">
      <c r="B106" s="138">
        <v>76</v>
      </c>
      <c r="C106" s="170">
        <v>45917</v>
      </c>
      <c r="D106" s="138" t="s">
        <v>591</v>
      </c>
      <c r="E106" s="138" t="s">
        <v>592</v>
      </c>
      <c r="F106" s="160" t="s">
        <v>313</v>
      </c>
      <c r="G106" s="160"/>
      <c r="H106" s="133" t="s">
        <v>699</v>
      </c>
      <c r="I106" s="148" t="s">
        <v>13</v>
      </c>
      <c r="J106" s="108" t="s">
        <v>314</v>
      </c>
      <c r="K106" s="134" t="s">
        <v>11</v>
      </c>
    </row>
    <row r="107" spans="2:11" ht="57.75">
      <c r="B107" s="147">
        <v>77</v>
      </c>
      <c r="C107" s="177">
        <v>45918</v>
      </c>
      <c r="D107" s="147" t="s">
        <v>591</v>
      </c>
      <c r="E107" s="147" t="s">
        <v>592</v>
      </c>
      <c r="F107" s="178" t="s">
        <v>313</v>
      </c>
      <c r="G107" s="178"/>
      <c r="H107" s="140" t="s">
        <v>699</v>
      </c>
      <c r="I107" s="176" t="s">
        <v>13</v>
      </c>
      <c r="J107" s="108" t="s">
        <v>314</v>
      </c>
      <c r="K107" s="139" t="s">
        <v>11</v>
      </c>
    </row>
    <row r="108" spans="2:11" ht="51.75" customHeight="1">
      <c r="B108" s="365">
        <v>78</v>
      </c>
      <c r="C108" s="367">
        <v>45919</v>
      </c>
      <c r="D108" s="365" t="s">
        <v>591</v>
      </c>
      <c r="E108" s="365" t="s">
        <v>592</v>
      </c>
      <c r="F108" s="381" t="s">
        <v>716</v>
      </c>
      <c r="G108" s="141"/>
      <c r="H108" s="381" t="s">
        <v>717</v>
      </c>
      <c r="I108" s="369" t="s">
        <v>13</v>
      </c>
      <c r="J108" s="136" t="s">
        <v>617</v>
      </c>
      <c r="K108" s="372" t="s">
        <v>11</v>
      </c>
    </row>
    <row r="109" spans="2:11" ht="47.25" customHeight="1">
      <c r="B109" s="365"/>
      <c r="C109" s="367"/>
      <c r="D109" s="365"/>
      <c r="E109" s="365"/>
      <c r="F109" s="381"/>
      <c r="G109" s="141"/>
      <c r="H109" s="381"/>
      <c r="I109" s="365"/>
      <c r="J109" s="153" t="s">
        <v>718</v>
      </c>
      <c r="K109" s="372"/>
    </row>
    <row r="110" spans="2:11" ht="66" customHeight="1">
      <c r="B110" s="365">
        <v>79</v>
      </c>
      <c r="C110" s="367">
        <v>45922</v>
      </c>
      <c r="D110" s="365" t="s">
        <v>591</v>
      </c>
      <c r="E110" s="365" t="s">
        <v>592</v>
      </c>
      <c r="F110" s="381" t="s">
        <v>719</v>
      </c>
      <c r="G110" s="141"/>
      <c r="H110" s="381" t="s">
        <v>720</v>
      </c>
      <c r="I110" s="369" t="s">
        <v>13</v>
      </c>
      <c r="J110" s="136" t="s">
        <v>277</v>
      </c>
      <c r="K110" s="372" t="s">
        <v>11</v>
      </c>
    </row>
    <row r="111" spans="2:11" ht="69" customHeight="1">
      <c r="B111" s="365"/>
      <c r="C111" s="367"/>
      <c r="D111" s="365"/>
      <c r="E111" s="365"/>
      <c r="F111" s="381"/>
      <c r="G111" s="141"/>
      <c r="H111" s="381"/>
      <c r="I111" s="365"/>
      <c r="J111" s="153" t="s">
        <v>282</v>
      </c>
      <c r="K111" s="372"/>
    </row>
    <row r="112" spans="2:11" ht="51" customHeight="1">
      <c r="B112" s="386">
        <v>80</v>
      </c>
      <c r="C112" s="388">
        <v>45923</v>
      </c>
      <c r="D112" s="386" t="s">
        <v>591</v>
      </c>
      <c r="E112" s="386" t="s">
        <v>592</v>
      </c>
      <c r="F112" s="377" t="s">
        <v>721</v>
      </c>
      <c r="G112" s="140"/>
      <c r="H112" s="377" t="s">
        <v>722</v>
      </c>
      <c r="I112" s="386" t="s">
        <v>13</v>
      </c>
      <c r="J112" s="136" t="s">
        <v>273</v>
      </c>
      <c r="K112" s="373" t="s">
        <v>11</v>
      </c>
    </row>
    <row r="113" spans="2:11" ht="49.5" customHeight="1">
      <c r="B113" s="387"/>
      <c r="C113" s="389"/>
      <c r="D113" s="387"/>
      <c r="E113" s="387"/>
      <c r="F113" s="390"/>
      <c r="G113" s="192"/>
      <c r="H113" s="390"/>
      <c r="I113" s="387"/>
      <c r="J113" s="153" t="s">
        <v>692</v>
      </c>
      <c r="K113" s="391"/>
    </row>
    <row r="114" spans="2:11" ht="59.25" customHeight="1">
      <c r="B114" s="387"/>
      <c r="C114" s="389"/>
      <c r="D114" s="387"/>
      <c r="E114" s="387"/>
      <c r="F114" s="390"/>
      <c r="G114" s="192"/>
      <c r="H114" s="390"/>
      <c r="I114" s="387"/>
      <c r="J114" s="136" t="s">
        <v>282</v>
      </c>
      <c r="K114" s="391"/>
    </row>
    <row r="115" spans="2:11" ht="56.25" customHeight="1">
      <c r="B115" s="387"/>
      <c r="C115" s="389"/>
      <c r="D115" s="387"/>
      <c r="E115" s="387"/>
      <c r="F115" s="390"/>
      <c r="G115" s="192"/>
      <c r="H115" s="390"/>
      <c r="I115" s="387"/>
      <c r="J115" s="153" t="s">
        <v>277</v>
      </c>
      <c r="K115" s="391"/>
    </row>
    <row r="116" spans="2:11" ht="43.5">
      <c r="B116" s="138">
        <v>81</v>
      </c>
      <c r="C116" s="170">
        <v>45924</v>
      </c>
      <c r="D116" s="138" t="s">
        <v>591</v>
      </c>
      <c r="E116" s="138" t="s">
        <v>592</v>
      </c>
      <c r="F116" s="141" t="s">
        <v>723</v>
      </c>
      <c r="G116" s="141"/>
      <c r="H116" s="133" t="s">
        <v>724</v>
      </c>
      <c r="I116" s="123" t="s">
        <v>13</v>
      </c>
      <c r="J116" s="142" t="s">
        <v>316</v>
      </c>
      <c r="K116" s="134" t="s">
        <v>11</v>
      </c>
    </row>
    <row r="117" spans="2:11" ht="43.5">
      <c r="B117" s="138">
        <v>82</v>
      </c>
      <c r="C117" s="170">
        <v>45925</v>
      </c>
      <c r="D117" s="138" t="s">
        <v>591</v>
      </c>
      <c r="E117" s="138" t="s">
        <v>592</v>
      </c>
      <c r="F117" s="141" t="s">
        <v>281</v>
      </c>
      <c r="G117" s="141"/>
      <c r="H117" s="133" t="s">
        <v>725</v>
      </c>
      <c r="I117" s="123" t="s">
        <v>13</v>
      </c>
      <c r="J117" s="142" t="s">
        <v>316</v>
      </c>
      <c r="K117" s="134" t="s">
        <v>11</v>
      </c>
    </row>
    <row r="118" spans="2:11" ht="43.5">
      <c r="B118" s="138">
        <v>83</v>
      </c>
      <c r="C118" s="170">
        <v>45926</v>
      </c>
      <c r="D118" s="138" t="s">
        <v>591</v>
      </c>
      <c r="E118" s="138" t="s">
        <v>592</v>
      </c>
      <c r="F118" s="145" t="s">
        <v>726</v>
      </c>
      <c r="G118" s="145"/>
      <c r="H118" s="133" t="s">
        <v>727</v>
      </c>
      <c r="I118" s="123" t="s">
        <v>13</v>
      </c>
      <c r="J118" s="134" t="s">
        <v>11</v>
      </c>
      <c r="K118" s="134" t="s">
        <v>11</v>
      </c>
    </row>
    <row r="119" spans="2:11" ht="45" customHeight="1">
      <c r="B119" s="138">
        <v>84</v>
      </c>
      <c r="C119" s="170">
        <v>45927</v>
      </c>
      <c r="D119" s="138" t="s">
        <v>591</v>
      </c>
      <c r="E119" s="138" t="s">
        <v>592</v>
      </c>
      <c r="F119" s="183" t="s">
        <v>728</v>
      </c>
      <c r="G119" s="203"/>
      <c r="H119" s="184" t="s">
        <v>729</v>
      </c>
      <c r="I119" s="123" t="s">
        <v>13</v>
      </c>
      <c r="J119" s="134" t="s">
        <v>11</v>
      </c>
      <c r="K119" s="134" t="s">
        <v>11</v>
      </c>
    </row>
    <row r="120" spans="2:11" ht="43.5">
      <c r="B120" s="138">
        <v>85</v>
      </c>
      <c r="C120" s="170">
        <v>45929</v>
      </c>
      <c r="D120" s="138" t="s">
        <v>591</v>
      </c>
      <c r="E120" s="138" t="s">
        <v>592</v>
      </c>
      <c r="F120" s="183" t="s">
        <v>730</v>
      </c>
      <c r="G120" s="203"/>
      <c r="H120" s="184" t="s">
        <v>731</v>
      </c>
      <c r="I120" s="123" t="s">
        <v>13</v>
      </c>
      <c r="J120" s="134" t="s">
        <v>11</v>
      </c>
      <c r="K120" s="134" t="s">
        <v>11</v>
      </c>
    </row>
    <row r="121" spans="2:11" ht="57.75">
      <c r="B121" s="138">
        <v>86</v>
      </c>
      <c r="C121" s="170">
        <v>45930</v>
      </c>
      <c r="D121" s="138" t="s">
        <v>591</v>
      </c>
      <c r="E121" s="138" t="s">
        <v>592</v>
      </c>
      <c r="F121" s="183" t="s">
        <v>732</v>
      </c>
      <c r="G121" s="203"/>
      <c r="H121" s="184" t="s">
        <v>733</v>
      </c>
      <c r="I121" s="123" t="s">
        <v>13</v>
      </c>
      <c r="J121" s="134" t="s">
        <v>11</v>
      </c>
      <c r="K121" s="134" t="s">
        <v>11</v>
      </c>
    </row>
    <row r="122" spans="2:11" ht="43.5">
      <c r="B122" s="147">
        <v>87</v>
      </c>
      <c r="C122" s="177">
        <v>45931</v>
      </c>
      <c r="D122" s="147" t="s">
        <v>591</v>
      </c>
      <c r="E122" s="147" t="s">
        <v>592</v>
      </c>
      <c r="F122" s="185" t="s">
        <v>734</v>
      </c>
      <c r="G122" s="204"/>
      <c r="H122" s="186" t="s">
        <v>735</v>
      </c>
      <c r="I122" s="137" t="s">
        <v>13</v>
      </c>
      <c r="J122" s="134" t="s">
        <v>11</v>
      </c>
      <c r="K122" s="139" t="s">
        <v>11</v>
      </c>
    </row>
    <row r="123" spans="2:11" ht="49.5" customHeight="1">
      <c r="B123" s="365">
        <v>88</v>
      </c>
      <c r="C123" s="367">
        <v>45933</v>
      </c>
      <c r="D123" s="365" t="s">
        <v>591</v>
      </c>
      <c r="E123" s="365" t="s">
        <v>592</v>
      </c>
      <c r="F123" s="381" t="s">
        <v>719</v>
      </c>
      <c r="G123" s="141"/>
      <c r="H123" s="381" t="s">
        <v>736</v>
      </c>
      <c r="I123" s="369" t="s">
        <v>13</v>
      </c>
      <c r="J123" s="136" t="s">
        <v>277</v>
      </c>
      <c r="K123" s="372" t="s">
        <v>11</v>
      </c>
    </row>
    <row r="124" spans="2:11" ht="48" customHeight="1">
      <c r="B124" s="366"/>
      <c r="C124" s="368"/>
      <c r="D124" s="366"/>
      <c r="E124" s="366"/>
      <c r="F124" s="382"/>
      <c r="G124" s="145"/>
      <c r="H124" s="382"/>
      <c r="I124" s="366"/>
      <c r="J124" s="153" t="s">
        <v>737</v>
      </c>
      <c r="K124" s="373"/>
    </row>
    <row r="125" spans="2:11" ht="53.25" customHeight="1">
      <c r="B125" s="365">
        <v>89</v>
      </c>
      <c r="C125" s="367">
        <v>45936</v>
      </c>
      <c r="D125" s="365" t="s">
        <v>591</v>
      </c>
      <c r="E125" s="365" t="s">
        <v>592</v>
      </c>
      <c r="F125" s="374" t="s">
        <v>738</v>
      </c>
      <c r="G125" s="383" t="s">
        <v>739</v>
      </c>
      <c r="H125" s="381" t="s">
        <v>740</v>
      </c>
      <c r="I125" s="369" t="s">
        <v>13</v>
      </c>
      <c r="J125" s="136" t="s">
        <v>279</v>
      </c>
      <c r="K125" s="372" t="s">
        <v>11</v>
      </c>
    </row>
    <row r="126" spans="2:11" ht="50.25" customHeight="1">
      <c r="B126" s="365"/>
      <c r="C126" s="367"/>
      <c r="D126" s="365"/>
      <c r="E126" s="365"/>
      <c r="F126" s="374"/>
      <c r="G126" s="384"/>
      <c r="H126" s="381"/>
      <c r="I126" s="365"/>
      <c r="J126" s="169" t="s">
        <v>741</v>
      </c>
      <c r="K126" s="372"/>
    </row>
    <row r="127" spans="2:11" ht="51" customHeight="1">
      <c r="B127" s="366"/>
      <c r="C127" s="368"/>
      <c r="D127" s="366"/>
      <c r="E127" s="366"/>
      <c r="F127" s="375"/>
      <c r="G127" s="385"/>
      <c r="H127" s="382"/>
      <c r="I127" s="366"/>
      <c r="J127" s="153" t="s">
        <v>742</v>
      </c>
      <c r="K127" s="373"/>
    </row>
    <row r="128" spans="2:11" ht="72.75">
      <c r="B128" s="138">
        <v>90</v>
      </c>
      <c r="C128" s="170">
        <v>45937</v>
      </c>
      <c r="D128" s="138" t="s">
        <v>591</v>
      </c>
      <c r="E128" s="138" t="s">
        <v>592</v>
      </c>
      <c r="F128" s="188" t="s">
        <v>743</v>
      </c>
      <c r="G128" s="188"/>
      <c r="H128" s="141" t="s">
        <v>744</v>
      </c>
      <c r="I128" s="123" t="s">
        <v>13</v>
      </c>
      <c r="J128" s="142" t="s">
        <v>745</v>
      </c>
      <c r="K128" s="134" t="s">
        <v>11</v>
      </c>
    </row>
    <row r="129" spans="2:11" ht="43.5">
      <c r="B129" s="138">
        <v>91</v>
      </c>
      <c r="C129" s="170">
        <v>45938</v>
      </c>
      <c r="D129" s="138" t="s">
        <v>591</v>
      </c>
      <c r="E129" s="138" t="s">
        <v>592</v>
      </c>
      <c r="F129" s="183" t="s">
        <v>746</v>
      </c>
      <c r="G129" s="203"/>
      <c r="H129" s="184" t="s">
        <v>747</v>
      </c>
      <c r="I129" s="123" t="s">
        <v>13</v>
      </c>
      <c r="J129" s="134" t="s">
        <v>11</v>
      </c>
      <c r="K129" s="134" t="s">
        <v>11</v>
      </c>
    </row>
    <row r="130" spans="2:11" ht="57.75">
      <c r="B130" s="138">
        <v>92</v>
      </c>
      <c r="C130" s="170">
        <v>45939</v>
      </c>
      <c r="D130" s="138" t="s">
        <v>591</v>
      </c>
      <c r="E130" s="138" t="s">
        <v>592</v>
      </c>
      <c r="F130" s="183" t="s">
        <v>748</v>
      </c>
      <c r="G130" s="204"/>
      <c r="H130" s="186" t="s">
        <v>749</v>
      </c>
      <c r="I130" s="123" t="s">
        <v>13</v>
      </c>
      <c r="J130" s="134" t="s">
        <v>11</v>
      </c>
      <c r="K130" s="134" t="s">
        <v>11</v>
      </c>
    </row>
    <row r="131" spans="2:11" ht="128.25" customHeight="1">
      <c r="B131" s="138">
        <v>93</v>
      </c>
      <c r="C131" s="170">
        <v>45940</v>
      </c>
      <c r="D131" s="138" t="s">
        <v>591</v>
      </c>
      <c r="E131" s="138" t="s">
        <v>592</v>
      </c>
      <c r="F131" s="187" t="s">
        <v>238</v>
      </c>
      <c r="G131" s="188"/>
      <c r="H131" s="140" t="s">
        <v>750</v>
      </c>
      <c r="I131" s="148" t="s">
        <v>13</v>
      </c>
      <c r="J131" s="108" t="s">
        <v>319</v>
      </c>
      <c r="K131" s="134" t="s">
        <v>11</v>
      </c>
    </row>
    <row r="132" spans="2:11" ht="64.5" customHeight="1">
      <c r="B132" s="138">
        <v>94</v>
      </c>
      <c r="C132" s="170">
        <v>45941</v>
      </c>
      <c r="D132" s="138" t="s">
        <v>591</v>
      </c>
      <c r="E132" s="138" t="s">
        <v>592</v>
      </c>
      <c r="F132" s="187" t="s">
        <v>238</v>
      </c>
      <c r="G132" s="187"/>
      <c r="H132" s="133" t="s">
        <v>751</v>
      </c>
      <c r="I132" s="148" t="s">
        <v>13</v>
      </c>
      <c r="J132" s="108" t="s">
        <v>319</v>
      </c>
      <c r="K132" s="134" t="s">
        <v>11</v>
      </c>
    </row>
    <row r="133" spans="2:11" ht="57.75">
      <c r="B133" s="138">
        <v>95</v>
      </c>
      <c r="C133" s="170">
        <v>45943</v>
      </c>
      <c r="D133" s="138" t="s">
        <v>591</v>
      </c>
      <c r="E133" s="138" t="s">
        <v>592</v>
      </c>
      <c r="F133" s="187"/>
      <c r="G133" s="188" t="s">
        <v>752</v>
      </c>
      <c r="H133" s="140" t="s">
        <v>753</v>
      </c>
      <c r="I133" s="148" t="s">
        <v>13</v>
      </c>
      <c r="J133" s="108" t="s">
        <v>319</v>
      </c>
      <c r="K133" s="134" t="s">
        <v>11</v>
      </c>
    </row>
    <row r="134" spans="2:11" ht="43.5">
      <c r="B134" s="147">
        <v>96</v>
      </c>
      <c r="C134" s="177">
        <v>45944</v>
      </c>
      <c r="D134" s="147" t="s">
        <v>591</v>
      </c>
      <c r="E134" s="147" t="s">
        <v>592</v>
      </c>
      <c r="F134" s="188"/>
      <c r="G134" s="188" t="s">
        <v>754</v>
      </c>
      <c r="H134" s="140" t="s">
        <v>755</v>
      </c>
      <c r="I134" s="176" t="s">
        <v>13</v>
      </c>
      <c r="J134" s="108" t="s">
        <v>618</v>
      </c>
      <c r="K134" s="139" t="s">
        <v>11</v>
      </c>
    </row>
    <row r="135" spans="2:11" ht="54" customHeight="1">
      <c r="B135" s="365">
        <v>97</v>
      </c>
      <c r="C135" s="367">
        <v>45945</v>
      </c>
      <c r="D135" s="365" t="s">
        <v>591</v>
      </c>
      <c r="E135" s="365" t="s">
        <v>592</v>
      </c>
      <c r="F135" s="376" t="s">
        <v>719</v>
      </c>
      <c r="G135" s="378" t="s">
        <v>756</v>
      </c>
      <c r="H135" s="376" t="s">
        <v>757</v>
      </c>
      <c r="I135" s="370" t="s">
        <v>13</v>
      </c>
      <c r="J135" s="136" t="s">
        <v>277</v>
      </c>
      <c r="K135" s="372" t="s">
        <v>11</v>
      </c>
    </row>
    <row r="136" spans="2:11" ht="59.25" customHeight="1">
      <c r="B136" s="366"/>
      <c r="C136" s="368"/>
      <c r="D136" s="366"/>
      <c r="E136" s="366"/>
      <c r="F136" s="377"/>
      <c r="G136" s="379"/>
      <c r="H136" s="377"/>
      <c r="I136" s="371"/>
      <c r="J136" s="169" t="s">
        <v>282</v>
      </c>
      <c r="K136" s="373"/>
    </row>
    <row r="137" spans="2:11" ht="72.75">
      <c r="B137" s="123">
        <v>98</v>
      </c>
      <c r="C137" s="205">
        <v>45946</v>
      </c>
      <c r="D137" s="123" t="s">
        <v>591</v>
      </c>
      <c r="E137" s="123" t="s">
        <v>592</v>
      </c>
      <c r="F137" s="183"/>
      <c r="G137" s="183" t="s">
        <v>758</v>
      </c>
      <c r="H137" s="141" t="s">
        <v>759</v>
      </c>
      <c r="I137" s="123" t="s">
        <v>13</v>
      </c>
      <c r="J137" s="142" t="s">
        <v>760</v>
      </c>
      <c r="K137" s="134" t="s">
        <v>11</v>
      </c>
    </row>
    <row r="138" spans="2:11">
      <c r="B138" s="123">
        <v>99</v>
      </c>
      <c r="C138" s="205">
        <v>45947</v>
      </c>
      <c r="D138" s="123" t="s">
        <v>591</v>
      </c>
      <c r="E138" s="123" t="s">
        <v>592</v>
      </c>
      <c r="F138" s="183"/>
      <c r="G138" s="183" t="s">
        <v>761</v>
      </c>
      <c r="H138" s="141" t="s">
        <v>762</v>
      </c>
      <c r="I138" s="123" t="s">
        <v>13</v>
      </c>
      <c r="J138" s="134" t="s">
        <v>11</v>
      </c>
      <c r="K138" s="134" t="s">
        <v>11</v>
      </c>
    </row>
    <row r="139" spans="2:11">
      <c r="B139" s="123">
        <v>100</v>
      </c>
      <c r="C139" s="205">
        <v>45951</v>
      </c>
      <c r="D139" s="123" t="s">
        <v>591</v>
      </c>
      <c r="E139" s="123" t="s">
        <v>592</v>
      </c>
      <c r="F139" s="183"/>
      <c r="G139" s="183" t="s">
        <v>761</v>
      </c>
      <c r="H139" s="141" t="s">
        <v>762</v>
      </c>
      <c r="I139" s="123" t="s">
        <v>13</v>
      </c>
      <c r="J139" s="134" t="s">
        <v>11</v>
      </c>
      <c r="K139" s="134" t="s">
        <v>11</v>
      </c>
    </row>
    <row r="140" spans="2:11" ht="64.5" customHeight="1">
      <c r="B140" s="123">
        <v>101</v>
      </c>
      <c r="C140" s="205">
        <v>45952</v>
      </c>
      <c r="D140" s="123" t="s">
        <v>591</v>
      </c>
      <c r="E140" s="123" t="s">
        <v>592</v>
      </c>
      <c r="F140" s="183" t="s">
        <v>763</v>
      </c>
      <c r="G140" s="183"/>
      <c r="H140" s="141" t="s">
        <v>764</v>
      </c>
      <c r="I140" s="123" t="s">
        <v>13</v>
      </c>
      <c r="J140" s="108" t="s">
        <v>765</v>
      </c>
      <c r="K140" s="134" t="s">
        <v>11</v>
      </c>
    </row>
    <row r="141" spans="2:11">
      <c r="B141" s="123">
        <v>102</v>
      </c>
      <c r="C141" s="205">
        <v>45953</v>
      </c>
      <c r="D141" s="123" t="s">
        <v>591</v>
      </c>
      <c r="E141" s="123" t="s">
        <v>592</v>
      </c>
      <c r="F141" s="183"/>
      <c r="G141" s="183" t="s">
        <v>761</v>
      </c>
      <c r="H141" s="141" t="s">
        <v>766</v>
      </c>
      <c r="I141" s="123" t="s">
        <v>13</v>
      </c>
      <c r="J141" s="134" t="s">
        <v>11</v>
      </c>
      <c r="K141" s="134" t="s">
        <v>11</v>
      </c>
    </row>
    <row r="142" spans="2:11" ht="64.5" customHeight="1">
      <c r="B142" s="123">
        <v>103</v>
      </c>
      <c r="C142" s="205">
        <v>45954</v>
      </c>
      <c r="D142" s="123" t="s">
        <v>591</v>
      </c>
      <c r="E142" s="123" t="s">
        <v>592</v>
      </c>
      <c r="F142" s="183" t="s">
        <v>240</v>
      </c>
      <c r="G142" s="183" t="s">
        <v>767</v>
      </c>
      <c r="H142" s="145" t="s">
        <v>768</v>
      </c>
      <c r="I142" s="123" t="s">
        <v>13</v>
      </c>
      <c r="J142" s="108" t="s">
        <v>284</v>
      </c>
      <c r="K142" s="134" t="s">
        <v>11</v>
      </c>
    </row>
    <row r="143" spans="2:11" ht="72.75">
      <c r="B143" s="123">
        <v>104</v>
      </c>
      <c r="C143" s="205">
        <v>45955</v>
      </c>
      <c r="D143" s="123" t="s">
        <v>591</v>
      </c>
      <c r="E143" s="123" t="s">
        <v>592</v>
      </c>
      <c r="F143" s="183" t="s">
        <v>240</v>
      </c>
      <c r="G143" s="187" t="s">
        <v>769</v>
      </c>
      <c r="H143" s="133" t="s">
        <v>770</v>
      </c>
      <c r="I143" s="148" t="s">
        <v>13</v>
      </c>
      <c r="J143" s="108" t="s">
        <v>771</v>
      </c>
      <c r="K143" s="134" t="s">
        <v>11</v>
      </c>
    </row>
    <row r="144" spans="2:11">
      <c r="B144" s="123">
        <v>105</v>
      </c>
      <c r="C144" s="205">
        <v>45957</v>
      </c>
      <c r="D144" s="123" t="s">
        <v>591</v>
      </c>
      <c r="E144" s="123" t="s">
        <v>592</v>
      </c>
      <c r="F144" s="183"/>
      <c r="G144" s="183" t="s">
        <v>761</v>
      </c>
      <c r="H144" s="141" t="s">
        <v>762</v>
      </c>
      <c r="I144" s="123" t="s">
        <v>13</v>
      </c>
      <c r="J144" s="134" t="s">
        <v>11</v>
      </c>
      <c r="K144" s="134" t="s">
        <v>11</v>
      </c>
    </row>
    <row r="145" spans="2:11">
      <c r="B145" s="123">
        <v>106</v>
      </c>
      <c r="C145" s="205">
        <v>45958</v>
      </c>
      <c r="D145" s="123" t="s">
        <v>591</v>
      </c>
      <c r="E145" s="123" t="s">
        <v>592</v>
      </c>
      <c r="F145" s="183"/>
      <c r="G145" s="183" t="s">
        <v>761</v>
      </c>
      <c r="H145" s="141" t="s">
        <v>762</v>
      </c>
      <c r="I145" s="123" t="s">
        <v>13</v>
      </c>
      <c r="J145" s="134" t="s">
        <v>11</v>
      </c>
      <c r="K145" s="134" t="s">
        <v>11</v>
      </c>
    </row>
    <row r="146" spans="2:11">
      <c r="B146" s="123">
        <v>107</v>
      </c>
      <c r="C146" s="205">
        <v>45959</v>
      </c>
      <c r="D146" s="123" t="s">
        <v>591</v>
      </c>
      <c r="E146" s="123" t="s">
        <v>592</v>
      </c>
      <c r="F146" s="183"/>
      <c r="G146" s="183" t="s">
        <v>772</v>
      </c>
      <c r="H146" s="141" t="s">
        <v>773</v>
      </c>
      <c r="I146" s="123" t="s">
        <v>13</v>
      </c>
      <c r="J146" s="134" t="s">
        <v>11</v>
      </c>
      <c r="K146" s="134" t="s">
        <v>11</v>
      </c>
    </row>
    <row r="147" spans="2:11" ht="29.25">
      <c r="B147" s="123">
        <v>108</v>
      </c>
      <c r="C147" s="205">
        <v>45960</v>
      </c>
      <c r="D147" s="123" t="s">
        <v>591</v>
      </c>
      <c r="E147" s="123" t="s">
        <v>592</v>
      </c>
      <c r="F147" s="183"/>
      <c r="G147" s="183"/>
      <c r="H147" s="141" t="s">
        <v>774</v>
      </c>
      <c r="I147" s="123" t="s">
        <v>13</v>
      </c>
      <c r="J147" s="134" t="s">
        <v>11</v>
      </c>
      <c r="K147" s="134" t="s">
        <v>11</v>
      </c>
    </row>
    <row r="148" spans="2:11">
      <c r="B148" s="123">
        <v>109</v>
      </c>
      <c r="C148" s="205">
        <v>45961</v>
      </c>
      <c r="D148" s="123" t="s">
        <v>591</v>
      </c>
      <c r="E148" s="123" t="s">
        <v>592</v>
      </c>
      <c r="F148" s="183"/>
      <c r="G148" s="183" t="s">
        <v>761</v>
      </c>
      <c r="H148" s="141" t="s">
        <v>762</v>
      </c>
      <c r="I148" s="123" t="s">
        <v>13</v>
      </c>
      <c r="J148" s="134" t="s">
        <v>11</v>
      </c>
      <c r="K148" s="134" t="s">
        <v>11</v>
      </c>
    </row>
    <row r="149" spans="2:11">
      <c r="B149" s="123">
        <v>110</v>
      </c>
      <c r="C149" s="205">
        <v>45964</v>
      </c>
      <c r="D149" s="123" t="s">
        <v>591</v>
      </c>
      <c r="E149" s="123" t="s">
        <v>592</v>
      </c>
      <c r="F149" s="183"/>
      <c r="G149" s="183" t="s">
        <v>761</v>
      </c>
      <c r="H149" s="141" t="s">
        <v>762</v>
      </c>
      <c r="I149" s="123" t="s">
        <v>13</v>
      </c>
      <c r="J149" s="134" t="s">
        <v>11</v>
      </c>
      <c r="K149" s="134" t="s">
        <v>11</v>
      </c>
    </row>
    <row r="150" spans="2:11" ht="29.25">
      <c r="B150" s="123">
        <v>111</v>
      </c>
      <c r="C150" s="205">
        <v>45965</v>
      </c>
      <c r="D150" s="123" t="s">
        <v>591</v>
      </c>
      <c r="E150" s="123" t="s">
        <v>592</v>
      </c>
      <c r="F150" s="183"/>
      <c r="G150" s="183" t="s">
        <v>775</v>
      </c>
      <c r="H150" s="133" t="s">
        <v>776</v>
      </c>
      <c r="I150" s="123" t="s">
        <v>13</v>
      </c>
      <c r="J150" s="134" t="s">
        <v>11</v>
      </c>
      <c r="K150" s="134" t="s">
        <v>11</v>
      </c>
    </row>
    <row r="151" spans="2:11" ht="57.75">
      <c r="B151" s="123">
        <v>112</v>
      </c>
      <c r="C151" s="205">
        <v>45966</v>
      </c>
      <c r="D151" s="123" t="s">
        <v>591</v>
      </c>
      <c r="E151" s="123" t="s">
        <v>592</v>
      </c>
      <c r="F151" s="183" t="s">
        <v>242</v>
      </c>
      <c r="G151" s="187" t="s">
        <v>777</v>
      </c>
      <c r="H151" s="140" t="s">
        <v>778</v>
      </c>
      <c r="I151" s="148" t="s">
        <v>13</v>
      </c>
      <c r="J151" s="108" t="s">
        <v>285</v>
      </c>
      <c r="K151" s="134" t="s">
        <v>11</v>
      </c>
    </row>
    <row r="152" spans="2:11" ht="29.25">
      <c r="B152" s="123">
        <v>113</v>
      </c>
      <c r="C152" s="205">
        <v>45967</v>
      </c>
      <c r="D152" s="123" t="s">
        <v>591</v>
      </c>
      <c r="E152" s="123" t="s">
        <v>592</v>
      </c>
      <c r="F152" s="183"/>
      <c r="G152" s="187" t="s">
        <v>775</v>
      </c>
      <c r="H152" s="133" t="s">
        <v>776</v>
      </c>
      <c r="I152" s="148" t="s">
        <v>13</v>
      </c>
      <c r="J152" s="134" t="s">
        <v>11</v>
      </c>
      <c r="K152" s="134" t="s">
        <v>11</v>
      </c>
    </row>
    <row r="153" spans="2:11" ht="29.25">
      <c r="B153" s="123">
        <v>114</v>
      </c>
      <c r="C153" s="205">
        <v>45968</v>
      </c>
      <c r="D153" s="123" t="s">
        <v>591</v>
      </c>
      <c r="E153" s="123" t="s">
        <v>592</v>
      </c>
      <c r="F153" s="183"/>
      <c r="G153" s="187" t="s">
        <v>775</v>
      </c>
      <c r="H153" s="133" t="s">
        <v>776</v>
      </c>
      <c r="I153" s="148" t="s">
        <v>13</v>
      </c>
      <c r="J153" s="134" t="s">
        <v>11</v>
      </c>
      <c r="K153" s="134" t="s">
        <v>11</v>
      </c>
    </row>
    <row r="154" spans="2:11" ht="29.25">
      <c r="B154" s="123">
        <v>115</v>
      </c>
      <c r="C154" s="205">
        <v>45969</v>
      </c>
      <c r="D154" s="123" t="s">
        <v>591</v>
      </c>
      <c r="E154" s="123" t="s">
        <v>592</v>
      </c>
      <c r="F154" s="183"/>
      <c r="G154" s="187" t="s">
        <v>779</v>
      </c>
      <c r="H154" s="133" t="s">
        <v>780</v>
      </c>
      <c r="I154" s="148" t="s">
        <v>13</v>
      </c>
      <c r="J154" s="134" t="s">
        <v>11</v>
      </c>
      <c r="K154" s="134" t="s">
        <v>11</v>
      </c>
    </row>
    <row r="155" spans="2:11" ht="57.75">
      <c r="B155" s="123">
        <v>116</v>
      </c>
      <c r="C155" s="205">
        <v>45972</v>
      </c>
      <c r="D155" s="123" t="s">
        <v>591</v>
      </c>
      <c r="E155" s="123" t="s">
        <v>592</v>
      </c>
      <c r="F155" s="183" t="s">
        <v>242</v>
      </c>
      <c r="G155" s="187" t="s">
        <v>781</v>
      </c>
      <c r="H155" s="133" t="s">
        <v>782</v>
      </c>
      <c r="I155" s="148" t="s">
        <v>13</v>
      </c>
      <c r="J155" s="108" t="s">
        <v>285</v>
      </c>
      <c r="K155" s="134" t="s">
        <v>11</v>
      </c>
    </row>
    <row r="156" spans="2:11">
      <c r="B156" s="137">
        <v>117</v>
      </c>
      <c r="C156" s="222">
        <v>45973</v>
      </c>
      <c r="D156" s="137" t="s">
        <v>591</v>
      </c>
      <c r="E156" s="137" t="s">
        <v>592</v>
      </c>
      <c r="F156" s="185"/>
      <c r="G156" s="185" t="s">
        <v>761</v>
      </c>
      <c r="H156" s="145" t="s">
        <v>762</v>
      </c>
      <c r="I156" s="137" t="s">
        <v>13</v>
      </c>
      <c r="J156" s="134" t="s">
        <v>11</v>
      </c>
      <c r="K156" s="139" t="s">
        <v>11</v>
      </c>
    </row>
    <row r="157" spans="2:11" ht="47.25" customHeight="1">
      <c r="B157" s="365">
        <v>118</v>
      </c>
      <c r="C157" s="367">
        <v>45974</v>
      </c>
      <c r="D157" s="365" t="s">
        <v>591</v>
      </c>
      <c r="E157" s="365" t="s">
        <v>592</v>
      </c>
      <c r="F157" s="376" t="s">
        <v>783</v>
      </c>
      <c r="G157" s="378" t="s">
        <v>781</v>
      </c>
      <c r="H157" s="376" t="s">
        <v>784</v>
      </c>
      <c r="I157" s="370" t="s">
        <v>13</v>
      </c>
      <c r="J157" s="136" t="s">
        <v>277</v>
      </c>
      <c r="K157" s="372" t="s">
        <v>11</v>
      </c>
    </row>
    <row r="158" spans="2:11" ht="48.75" customHeight="1">
      <c r="B158" s="366"/>
      <c r="C158" s="368"/>
      <c r="D158" s="366"/>
      <c r="E158" s="366"/>
      <c r="F158" s="377"/>
      <c r="G158" s="379"/>
      <c r="H158" s="377"/>
      <c r="I158" s="380"/>
      <c r="J158" s="136" t="s">
        <v>737</v>
      </c>
      <c r="K158" s="373"/>
    </row>
    <row r="159" spans="2:11" ht="29.25">
      <c r="B159" s="123">
        <v>119</v>
      </c>
      <c r="C159" s="205">
        <v>45975</v>
      </c>
      <c r="D159" s="123" t="s">
        <v>591</v>
      </c>
      <c r="E159" s="123" t="s">
        <v>592</v>
      </c>
      <c r="F159" s="183"/>
      <c r="G159" s="187" t="s">
        <v>779</v>
      </c>
      <c r="H159" s="133" t="s">
        <v>780</v>
      </c>
      <c r="I159" s="148" t="s">
        <v>13</v>
      </c>
      <c r="J159" s="134" t="s">
        <v>11</v>
      </c>
      <c r="K159" s="134" t="s">
        <v>11</v>
      </c>
    </row>
    <row r="160" spans="2:11" ht="29.25">
      <c r="B160" s="123">
        <v>120</v>
      </c>
      <c r="C160" s="205">
        <v>45976</v>
      </c>
      <c r="D160" s="123" t="s">
        <v>591</v>
      </c>
      <c r="E160" s="123" t="s">
        <v>592</v>
      </c>
      <c r="F160" s="183"/>
      <c r="G160" s="188" t="s">
        <v>779</v>
      </c>
      <c r="H160" s="140" t="s">
        <v>780</v>
      </c>
      <c r="I160" s="176" t="s">
        <v>13</v>
      </c>
      <c r="J160" s="139" t="s">
        <v>11</v>
      </c>
      <c r="K160" s="139" t="s">
        <v>11</v>
      </c>
    </row>
    <row r="161" spans="2:14">
      <c r="B161" s="137">
        <v>121</v>
      </c>
      <c r="C161" s="222">
        <v>45978</v>
      </c>
      <c r="D161" s="137" t="s">
        <v>591</v>
      </c>
      <c r="E161" s="137" t="s">
        <v>592</v>
      </c>
      <c r="F161" s="187"/>
      <c r="G161" s="183" t="s">
        <v>761</v>
      </c>
      <c r="H161" s="133" t="s">
        <v>762</v>
      </c>
      <c r="I161" s="137" t="s">
        <v>13</v>
      </c>
      <c r="J161" s="134" t="s">
        <v>11</v>
      </c>
      <c r="K161" s="139" t="s">
        <v>11</v>
      </c>
    </row>
    <row r="162" spans="2:14" ht="57.75">
      <c r="B162" s="365">
        <v>122</v>
      </c>
      <c r="C162" s="367">
        <v>45983</v>
      </c>
      <c r="D162" s="365" t="s">
        <v>591</v>
      </c>
      <c r="E162" s="369" t="s">
        <v>592</v>
      </c>
      <c r="F162" s="183" t="s">
        <v>242</v>
      </c>
      <c r="G162" s="187" t="s">
        <v>781</v>
      </c>
      <c r="H162" s="133" t="s">
        <v>782</v>
      </c>
      <c r="I162" s="369" t="s">
        <v>13</v>
      </c>
      <c r="J162" s="136" t="s">
        <v>285</v>
      </c>
      <c r="K162" s="372" t="s">
        <v>11</v>
      </c>
    </row>
    <row r="163" spans="2:14" ht="54.75" customHeight="1">
      <c r="B163" s="366"/>
      <c r="C163" s="368"/>
      <c r="D163" s="366"/>
      <c r="E163" s="366"/>
      <c r="F163" s="145" t="s">
        <v>785</v>
      </c>
      <c r="G163" s="147" t="s">
        <v>786</v>
      </c>
      <c r="H163" s="145" t="s">
        <v>787</v>
      </c>
      <c r="I163" s="366"/>
      <c r="J163" s="158" t="s">
        <v>323</v>
      </c>
      <c r="K163" s="373"/>
    </row>
    <row r="164" spans="2:14" ht="57.75">
      <c r="B164" s="123">
        <v>123</v>
      </c>
      <c r="C164" s="205">
        <v>45984</v>
      </c>
      <c r="D164" s="123" t="s">
        <v>591</v>
      </c>
      <c r="E164" s="123" t="s">
        <v>592</v>
      </c>
      <c r="F164" s="133" t="s">
        <v>785</v>
      </c>
      <c r="G164" s="138" t="s">
        <v>788</v>
      </c>
      <c r="H164" s="140" t="s">
        <v>789</v>
      </c>
      <c r="I164" s="176" t="s">
        <v>13</v>
      </c>
      <c r="J164" s="135" t="s">
        <v>287</v>
      </c>
      <c r="K164" s="139" t="s">
        <v>11</v>
      </c>
      <c r="N164" s="156"/>
    </row>
    <row r="165" spans="2:14">
      <c r="B165" s="123">
        <v>124</v>
      </c>
      <c r="C165" s="205">
        <v>45985</v>
      </c>
      <c r="D165" s="123" t="s">
        <v>591</v>
      </c>
      <c r="E165" s="123" t="s">
        <v>592</v>
      </c>
      <c r="F165" s="133"/>
      <c r="G165" s="187" t="s">
        <v>761</v>
      </c>
      <c r="H165" s="133" t="s">
        <v>790</v>
      </c>
      <c r="I165" s="123" t="s">
        <v>13</v>
      </c>
      <c r="J165" s="134" t="s">
        <v>11</v>
      </c>
      <c r="K165" s="134" t="s">
        <v>11</v>
      </c>
    </row>
    <row r="166" spans="2:14">
      <c r="B166" s="123">
        <v>125</v>
      </c>
      <c r="C166" s="205">
        <v>45986</v>
      </c>
      <c r="D166" s="123" t="s">
        <v>591</v>
      </c>
      <c r="E166" s="123" t="s">
        <v>592</v>
      </c>
      <c r="F166" s="133"/>
      <c r="G166" s="187" t="s">
        <v>761</v>
      </c>
      <c r="H166" s="140" t="s">
        <v>790</v>
      </c>
      <c r="I166" s="123" t="s">
        <v>13</v>
      </c>
      <c r="J166" s="139" t="s">
        <v>11</v>
      </c>
      <c r="K166" s="134" t="s">
        <v>11</v>
      </c>
    </row>
    <row r="167" spans="2:14" ht="57.75">
      <c r="B167" s="123">
        <v>126</v>
      </c>
      <c r="C167" s="205">
        <v>45987</v>
      </c>
      <c r="D167" s="123" t="s">
        <v>591</v>
      </c>
      <c r="E167" s="123" t="s">
        <v>592</v>
      </c>
      <c r="F167" s="133" t="s">
        <v>791</v>
      </c>
      <c r="G167" s="188" t="s">
        <v>792</v>
      </c>
      <c r="H167" s="140" t="s">
        <v>793</v>
      </c>
      <c r="I167" s="152" t="s">
        <v>13</v>
      </c>
      <c r="J167" s="158" t="s">
        <v>323</v>
      </c>
      <c r="K167" s="270" t="s">
        <v>11</v>
      </c>
    </row>
    <row r="168" spans="2:14">
      <c r="B168" s="137">
        <v>127</v>
      </c>
      <c r="C168" s="222">
        <v>45988</v>
      </c>
      <c r="D168" s="137" t="s">
        <v>591</v>
      </c>
      <c r="E168" s="137" t="s">
        <v>592</v>
      </c>
      <c r="F168" s="145"/>
      <c r="G168" s="183" t="s">
        <v>761</v>
      </c>
      <c r="H168" s="133" t="s">
        <v>790</v>
      </c>
      <c r="I168" s="137" t="s">
        <v>13</v>
      </c>
      <c r="J168" s="134" t="s">
        <v>11</v>
      </c>
      <c r="K168" s="139" t="s">
        <v>11</v>
      </c>
    </row>
    <row r="169" spans="2:14" ht="66" customHeight="1">
      <c r="B169" s="365">
        <v>128</v>
      </c>
      <c r="C169" s="367">
        <v>45989</v>
      </c>
      <c r="D169" s="365" t="s">
        <v>591</v>
      </c>
      <c r="E169" s="365" t="s">
        <v>592</v>
      </c>
      <c r="F169" s="133" t="s">
        <v>794</v>
      </c>
      <c r="G169" s="204" t="s">
        <v>795</v>
      </c>
      <c r="H169" s="133" t="s">
        <v>796</v>
      </c>
      <c r="I169" s="369" t="s">
        <v>13</v>
      </c>
      <c r="J169" s="136" t="s">
        <v>617</v>
      </c>
      <c r="K169" s="372" t="s">
        <v>11</v>
      </c>
    </row>
    <row r="170" spans="2:14" ht="66.75" customHeight="1">
      <c r="B170" s="366"/>
      <c r="C170" s="368"/>
      <c r="D170" s="366"/>
      <c r="E170" s="366"/>
      <c r="F170" s="193" t="s">
        <v>797</v>
      </c>
      <c r="G170" s="145" t="s">
        <v>798</v>
      </c>
      <c r="H170" s="140" t="s">
        <v>799</v>
      </c>
      <c r="I170" s="371"/>
      <c r="J170" s="169" t="s">
        <v>800</v>
      </c>
      <c r="K170" s="373"/>
    </row>
    <row r="171" spans="2:14" ht="43.5">
      <c r="B171" s="123">
        <v>129</v>
      </c>
      <c r="C171" s="205">
        <v>45992</v>
      </c>
      <c r="D171" s="123" t="s">
        <v>591</v>
      </c>
      <c r="E171" s="123" t="s">
        <v>592</v>
      </c>
      <c r="F171" s="133" t="s">
        <v>801</v>
      </c>
      <c r="G171" s="183" t="s">
        <v>802</v>
      </c>
      <c r="H171" s="133" t="s">
        <v>803</v>
      </c>
      <c r="I171" s="123" t="s">
        <v>13</v>
      </c>
      <c r="J171" s="108" t="s">
        <v>804</v>
      </c>
      <c r="K171" s="134" t="s">
        <v>11</v>
      </c>
    </row>
    <row r="172" spans="2:14" ht="43.5">
      <c r="B172" s="123">
        <v>130</v>
      </c>
      <c r="C172" s="205">
        <v>45993</v>
      </c>
      <c r="D172" s="123" t="s">
        <v>591</v>
      </c>
      <c r="E172" s="123" t="s">
        <v>592</v>
      </c>
      <c r="F172" s="133" t="s">
        <v>805</v>
      </c>
      <c r="G172" s="183" t="s">
        <v>802</v>
      </c>
      <c r="H172" s="140" t="s">
        <v>806</v>
      </c>
      <c r="I172" s="123" t="s">
        <v>13</v>
      </c>
      <c r="J172" s="108" t="s">
        <v>807</v>
      </c>
      <c r="K172" s="134" t="s">
        <v>11</v>
      </c>
    </row>
    <row r="173" spans="2:14" ht="63.75" customHeight="1">
      <c r="B173" s="123">
        <v>131</v>
      </c>
      <c r="C173" s="205">
        <v>45994</v>
      </c>
      <c r="D173" s="123" t="s">
        <v>591</v>
      </c>
      <c r="E173" s="123" t="s">
        <v>592</v>
      </c>
      <c r="F173" s="133" t="s">
        <v>801</v>
      </c>
      <c r="G173" s="187" t="s">
        <v>808</v>
      </c>
      <c r="H173" s="133" t="s">
        <v>809</v>
      </c>
      <c r="I173" s="148" t="s">
        <v>13</v>
      </c>
      <c r="J173" s="108" t="s">
        <v>810</v>
      </c>
      <c r="K173" s="134" t="s">
        <v>11</v>
      </c>
    </row>
    <row r="174" spans="2:14" ht="29.25">
      <c r="B174" s="123">
        <v>132</v>
      </c>
      <c r="C174" s="205">
        <v>45995</v>
      </c>
      <c r="D174" s="123" t="s">
        <v>591</v>
      </c>
      <c r="E174" s="123" t="s">
        <v>592</v>
      </c>
      <c r="F174" s="133"/>
      <c r="G174" s="187" t="s">
        <v>811</v>
      </c>
      <c r="H174" s="133" t="s">
        <v>812</v>
      </c>
      <c r="I174" s="148" t="s">
        <v>13</v>
      </c>
      <c r="J174" s="134" t="s">
        <v>11</v>
      </c>
      <c r="K174" s="134" t="s">
        <v>11</v>
      </c>
    </row>
    <row r="175" spans="2:14" ht="43.5">
      <c r="B175" s="123">
        <v>133</v>
      </c>
      <c r="C175" s="205">
        <v>45996</v>
      </c>
      <c r="D175" s="123" t="s">
        <v>591</v>
      </c>
      <c r="E175" s="123" t="s">
        <v>592</v>
      </c>
      <c r="F175" s="183" t="s">
        <v>240</v>
      </c>
      <c r="G175" s="187" t="s">
        <v>813</v>
      </c>
      <c r="H175" s="140" t="s">
        <v>814</v>
      </c>
      <c r="I175" s="148" t="s">
        <v>13</v>
      </c>
      <c r="J175" s="108" t="s">
        <v>284</v>
      </c>
      <c r="K175" s="134" t="s">
        <v>11</v>
      </c>
    </row>
    <row r="176" spans="2:14" ht="69.75" customHeight="1">
      <c r="B176" s="123">
        <v>134</v>
      </c>
      <c r="C176" s="205">
        <v>45997</v>
      </c>
      <c r="D176" s="123" t="s">
        <v>591</v>
      </c>
      <c r="E176" s="123" t="s">
        <v>592</v>
      </c>
      <c r="F176" s="183" t="s">
        <v>242</v>
      </c>
      <c r="G176" s="187" t="s">
        <v>815</v>
      </c>
      <c r="H176" s="133" t="s">
        <v>816</v>
      </c>
      <c r="I176" s="148" t="s">
        <v>13</v>
      </c>
      <c r="J176" s="108" t="s">
        <v>285</v>
      </c>
      <c r="K176" s="134" t="s">
        <v>11</v>
      </c>
    </row>
    <row r="177" spans="2:11" ht="57.75">
      <c r="B177" s="123">
        <v>135</v>
      </c>
      <c r="C177" s="205">
        <v>45999</v>
      </c>
      <c r="D177" s="123" t="s">
        <v>591</v>
      </c>
      <c r="E177" s="123" t="s">
        <v>592</v>
      </c>
      <c r="F177" s="183" t="s">
        <v>242</v>
      </c>
      <c r="G177" s="187" t="s">
        <v>815</v>
      </c>
      <c r="H177" s="133" t="s">
        <v>817</v>
      </c>
      <c r="I177" s="148" t="s">
        <v>13</v>
      </c>
      <c r="J177" s="108" t="s">
        <v>285</v>
      </c>
      <c r="K177" s="134" t="s">
        <v>11</v>
      </c>
    </row>
    <row r="178" spans="2:11" ht="43.5">
      <c r="B178" s="123">
        <v>136</v>
      </c>
      <c r="C178" s="205">
        <v>46000</v>
      </c>
      <c r="D178" s="123" t="s">
        <v>591</v>
      </c>
      <c r="E178" s="123" t="s">
        <v>592</v>
      </c>
      <c r="F178" s="185" t="s">
        <v>818</v>
      </c>
      <c r="G178" s="187" t="s">
        <v>819</v>
      </c>
      <c r="H178" s="140" t="s">
        <v>820</v>
      </c>
      <c r="I178" s="148" t="s">
        <v>13</v>
      </c>
      <c r="J178" s="108" t="s">
        <v>821</v>
      </c>
      <c r="K178" s="134" t="s">
        <v>11</v>
      </c>
    </row>
    <row r="179" spans="2:11" ht="57.75">
      <c r="B179" s="137">
        <v>137</v>
      </c>
      <c r="C179" s="222">
        <v>46001</v>
      </c>
      <c r="D179" s="137" t="s">
        <v>591</v>
      </c>
      <c r="E179" s="147" t="s">
        <v>592</v>
      </c>
      <c r="F179" s="272" t="s">
        <v>245</v>
      </c>
      <c r="G179" s="188" t="s">
        <v>822</v>
      </c>
      <c r="H179" s="140" t="s">
        <v>823</v>
      </c>
      <c r="I179" s="176" t="s">
        <v>13</v>
      </c>
      <c r="J179" s="108" t="s">
        <v>821</v>
      </c>
      <c r="K179" s="139" t="s">
        <v>11</v>
      </c>
    </row>
    <row r="180" spans="2:11" ht="56.25" customHeight="1">
      <c r="B180" s="365">
        <v>138</v>
      </c>
      <c r="C180" s="367">
        <v>46002</v>
      </c>
      <c r="D180" s="365" t="s">
        <v>591</v>
      </c>
      <c r="E180" s="369" t="s">
        <v>592</v>
      </c>
      <c r="F180" s="271" t="s">
        <v>603</v>
      </c>
      <c r="G180" s="374" t="s">
        <v>824</v>
      </c>
      <c r="H180" s="376" t="s">
        <v>825</v>
      </c>
      <c r="I180" s="370" t="s">
        <v>13</v>
      </c>
      <c r="J180" s="136" t="s">
        <v>617</v>
      </c>
      <c r="K180" s="372" t="s">
        <v>11</v>
      </c>
    </row>
    <row r="181" spans="2:11" ht="49.5" customHeight="1">
      <c r="B181" s="366"/>
      <c r="C181" s="368"/>
      <c r="D181" s="366"/>
      <c r="E181" s="366"/>
      <c r="F181" s="273" t="s">
        <v>245</v>
      </c>
      <c r="G181" s="375"/>
      <c r="H181" s="377"/>
      <c r="I181" s="371"/>
      <c r="J181" s="169" t="s">
        <v>826</v>
      </c>
      <c r="K181" s="373"/>
    </row>
    <row r="182" spans="2:11" ht="60.75" customHeight="1">
      <c r="B182" s="123">
        <v>139</v>
      </c>
      <c r="C182" s="205">
        <v>46003</v>
      </c>
      <c r="D182" s="123" t="s">
        <v>591</v>
      </c>
      <c r="E182" s="138" t="s">
        <v>592</v>
      </c>
      <c r="F182" s="183" t="s">
        <v>603</v>
      </c>
      <c r="G182" s="203" t="s">
        <v>827</v>
      </c>
      <c r="H182" s="141" t="s">
        <v>828</v>
      </c>
      <c r="I182" s="123" t="s">
        <v>13</v>
      </c>
      <c r="J182" s="274" t="s">
        <v>617</v>
      </c>
      <c r="K182" s="134" t="s">
        <v>11</v>
      </c>
    </row>
    <row r="183" spans="2:11">
      <c r="B183" s="123">
        <v>140</v>
      </c>
      <c r="C183" s="205">
        <v>46006</v>
      </c>
      <c r="D183" s="123" t="s">
        <v>591</v>
      </c>
      <c r="E183" s="138" t="s">
        <v>592</v>
      </c>
      <c r="F183" s="183"/>
      <c r="G183" s="203" t="s">
        <v>761</v>
      </c>
      <c r="H183" s="141" t="s">
        <v>829</v>
      </c>
      <c r="I183" s="123" t="s">
        <v>13</v>
      </c>
      <c r="J183" s="134" t="s">
        <v>11</v>
      </c>
      <c r="K183" s="134" t="s">
        <v>11</v>
      </c>
    </row>
    <row r="184" spans="2:11" ht="72.75">
      <c r="B184" s="123">
        <v>141</v>
      </c>
      <c r="C184" s="205">
        <v>46007</v>
      </c>
      <c r="D184" s="123" t="s">
        <v>591</v>
      </c>
      <c r="E184" s="138" t="s">
        <v>592</v>
      </c>
      <c r="F184" s="183"/>
      <c r="G184" s="203" t="s">
        <v>830</v>
      </c>
      <c r="H184" s="141" t="s">
        <v>831</v>
      </c>
      <c r="I184" s="123" t="s">
        <v>13</v>
      </c>
      <c r="J184" s="108" t="s">
        <v>832</v>
      </c>
      <c r="K184" s="134" t="s">
        <v>11</v>
      </c>
    </row>
    <row r="185" spans="2:11" ht="43.5">
      <c r="B185" s="123">
        <v>142</v>
      </c>
      <c r="C185" s="205">
        <v>46008</v>
      </c>
      <c r="D185" s="123" t="s">
        <v>591</v>
      </c>
      <c r="E185" s="138" t="s">
        <v>592</v>
      </c>
      <c r="F185" s="183" t="s">
        <v>833</v>
      </c>
      <c r="G185" s="203" t="s">
        <v>834</v>
      </c>
      <c r="H185" s="145" t="s">
        <v>835</v>
      </c>
      <c r="I185" s="123" t="s">
        <v>13</v>
      </c>
      <c r="J185" s="108" t="s">
        <v>284</v>
      </c>
      <c r="K185" s="134" t="s">
        <v>11</v>
      </c>
    </row>
    <row r="186" spans="2:11" ht="43.5">
      <c r="B186" s="123">
        <v>143</v>
      </c>
      <c r="C186" s="205">
        <v>46009</v>
      </c>
      <c r="D186" s="123" t="s">
        <v>591</v>
      </c>
      <c r="E186" s="138" t="s">
        <v>592</v>
      </c>
      <c r="F186" s="183"/>
      <c r="G186" s="275" t="s">
        <v>836</v>
      </c>
      <c r="H186" s="133" t="s">
        <v>837</v>
      </c>
      <c r="I186" s="148" t="s">
        <v>13</v>
      </c>
      <c r="J186" s="108" t="s">
        <v>838</v>
      </c>
      <c r="K186" s="134" t="s">
        <v>11</v>
      </c>
    </row>
    <row r="187" spans="2:11" ht="29.25">
      <c r="B187" s="137">
        <v>144</v>
      </c>
      <c r="C187" s="222">
        <v>46010</v>
      </c>
      <c r="D187" s="137" t="s">
        <v>591</v>
      </c>
      <c r="E187" s="147" t="s">
        <v>592</v>
      </c>
      <c r="F187" s="185"/>
      <c r="G187" s="271" t="s">
        <v>839</v>
      </c>
      <c r="H187" s="140" t="s">
        <v>840</v>
      </c>
      <c r="I187" s="176" t="s">
        <v>13</v>
      </c>
      <c r="J187" s="139" t="s">
        <v>11</v>
      </c>
      <c r="K187" s="139" t="s">
        <v>11</v>
      </c>
    </row>
    <row r="188" spans="2:11" ht="29.25">
      <c r="B188" s="123">
        <v>145</v>
      </c>
      <c r="C188" s="205">
        <v>46011</v>
      </c>
      <c r="D188" s="123" t="s">
        <v>591</v>
      </c>
      <c r="E188" s="123" t="s">
        <v>592</v>
      </c>
      <c r="F188" s="276"/>
      <c r="G188" s="185" t="s">
        <v>839</v>
      </c>
      <c r="H188" s="140" t="s">
        <v>840</v>
      </c>
      <c r="I188" s="137" t="s">
        <v>13</v>
      </c>
      <c r="J188" s="139" t="s">
        <v>11</v>
      </c>
      <c r="K188" s="139" t="s">
        <v>11</v>
      </c>
    </row>
    <row r="189" spans="2:11" ht="29.25">
      <c r="B189" s="123">
        <v>146</v>
      </c>
      <c r="C189" s="205">
        <v>46013</v>
      </c>
      <c r="D189" s="123" t="s">
        <v>591</v>
      </c>
      <c r="E189" s="123" t="s">
        <v>592</v>
      </c>
      <c r="F189" s="143"/>
      <c r="G189" s="183" t="s">
        <v>839</v>
      </c>
      <c r="H189" s="133" t="s">
        <v>840</v>
      </c>
      <c r="I189" s="123" t="s">
        <v>13</v>
      </c>
      <c r="J189" s="134" t="s">
        <v>11</v>
      </c>
      <c r="K189" s="134" t="s">
        <v>11</v>
      </c>
    </row>
    <row r="190" spans="2:11" ht="29.25">
      <c r="B190" s="123">
        <v>147</v>
      </c>
      <c r="C190" s="205">
        <v>46014</v>
      </c>
      <c r="D190" s="123" t="s">
        <v>591</v>
      </c>
      <c r="E190" s="123" t="s">
        <v>592</v>
      </c>
      <c r="F190" s="143"/>
      <c r="G190" s="183" t="s">
        <v>839</v>
      </c>
      <c r="H190" s="140" t="s">
        <v>840</v>
      </c>
      <c r="I190" s="123" t="s">
        <v>13</v>
      </c>
      <c r="J190" s="134" t="s">
        <v>11</v>
      </c>
      <c r="K190" s="134" t="s">
        <v>11</v>
      </c>
    </row>
    <row r="191" spans="2:11" ht="57.75">
      <c r="B191" s="123">
        <v>148</v>
      </c>
      <c r="C191" s="205">
        <v>46015</v>
      </c>
      <c r="D191" s="123" t="s">
        <v>591</v>
      </c>
      <c r="E191" s="123" t="s">
        <v>592</v>
      </c>
      <c r="F191" s="183" t="s">
        <v>242</v>
      </c>
      <c r="G191" s="187" t="s">
        <v>841</v>
      </c>
      <c r="H191" s="133" t="s">
        <v>842</v>
      </c>
      <c r="I191" s="148" t="s">
        <v>13</v>
      </c>
      <c r="J191" s="108" t="s">
        <v>285</v>
      </c>
      <c r="K191" s="134" t="s">
        <v>11</v>
      </c>
    </row>
    <row r="192" spans="2:11" ht="57.75">
      <c r="B192" s="137">
        <v>149</v>
      </c>
      <c r="C192" s="222">
        <v>46017</v>
      </c>
      <c r="D192" s="137" t="s">
        <v>591</v>
      </c>
      <c r="E192" s="137" t="s">
        <v>592</v>
      </c>
      <c r="F192" s="185" t="s">
        <v>242</v>
      </c>
      <c r="G192" s="188" t="s">
        <v>843</v>
      </c>
      <c r="H192" s="140" t="s">
        <v>844</v>
      </c>
      <c r="I192" s="176" t="s">
        <v>13</v>
      </c>
      <c r="J192" s="277" t="s">
        <v>845</v>
      </c>
      <c r="K192" s="139" t="s">
        <v>11</v>
      </c>
    </row>
    <row r="193" spans="2:11" ht="29.25">
      <c r="B193" s="147">
        <v>150</v>
      </c>
      <c r="C193" s="222">
        <v>46020</v>
      </c>
      <c r="D193" s="176" t="s">
        <v>591</v>
      </c>
      <c r="E193" s="137" t="s">
        <v>592</v>
      </c>
      <c r="F193" s="282"/>
      <c r="G193" s="140" t="s">
        <v>846</v>
      </c>
      <c r="H193" s="145" t="s">
        <v>847</v>
      </c>
      <c r="I193" s="137" t="s">
        <v>13</v>
      </c>
      <c r="J193" s="270" t="s">
        <v>11</v>
      </c>
      <c r="K193" s="139" t="s">
        <v>11</v>
      </c>
    </row>
    <row r="194" spans="2:11" ht="29.25">
      <c r="B194" s="137">
        <v>151</v>
      </c>
      <c r="C194" s="222">
        <v>46021</v>
      </c>
      <c r="D194" s="137" t="s">
        <v>591</v>
      </c>
      <c r="E194" s="137" t="s">
        <v>592</v>
      </c>
      <c r="F194" s="283"/>
      <c r="G194" s="140" t="s">
        <v>846</v>
      </c>
      <c r="H194" s="186" t="s">
        <v>847</v>
      </c>
      <c r="I194" s="137" t="s">
        <v>13</v>
      </c>
      <c r="J194" s="139" t="s">
        <v>11</v>
      </c>
      <c r="K194" s="270" t="s">
        <v>11</v>
      </c>
    </row>
    <row r="195" spans="2:11" ht="29.25">
      <c r="B195" s="123">
        <v>152</v>
      </c>
      <c r="C195" s="205">
        <v>46022</v>
      </c>
      <c r="D195" s="123" t="s">
        <v>591</v>
      </c>
      <c r="E195" s="123" t="s">
        <v>592</v>
      </c>
      <c r="F195" s="123" t="s">
        <v>848</v>
      </c>
      <c r="G195" s="133" t="s">
        <v>849</v>
      </c>
      <c r="H195" s="184" t="s">
        <v>850</v>
      </c>
      <c r="I195" s="123" t="s">
        <v>13</v>
      </c>
      <c r="J195" s="284" t="s">
        <v>11</v>
      </c>
      <c r="K195" s="134" t="s">
        <v>11</v>
      </c>
    </row>
    <row r="196" spans="2:11" ht="57" customHeight="1">
      <c r="B196" s="123">
        <v>153</v>
      </c>
      <c r="C196" s="205">
        <v>46024</v>
      </c>
      <c r="D196" s="123" t="s">
        <v>591</v>
      </c>
      <c r="E196" s="123" t="s">
        <v>592</v>
      </c>
      <c r="F196" s="183" t="s">
        <v>242</v>
      </c>
      <c r="G196" s="133" t="s">
        <v>851</v>
      </c>
      <c r="H196" s="184" t="s">
        <v>852</v>
      </c>
      <c r="I196" s="123" t="s">
        <v>13</v>
      </c>
      <c r="J196" s="285" t="s">
        <v>853</v>
      </c>
      <c r="K196" s="134" t="s">
        <v>11</v>
      </c>
    </row>
    <row r="197" spans="2:11" ht="29.25">
      <c r="B197" s="123">
        <v>154</v>
      </c>
      <c r="C197" s="205">
        <v>46025</v>
      </c>
      <c r="D197" s="123" t="s">
        <v>591</v>
      </c>
      <c r="E197" s="123" t="s">
        <v>592</v>
      </c>
      <c r="F197" s="183" t="s">
        <v>854</v>
      </c>
      <c r="G197" s="133" t="s">
        <v>849</v>
      </c>
      <c r="H197" s="186" t="s">
        <v>855</v>
      </c>
      <c r="I197" s="123" t="s">
        <v>13</v>
      </c>
      <c r="J197" s="134" t="s">
        <v>11</v>
      </c>
      <c r="K197" s="134" t="s">
        <v>11</v>
      </c>
    </row>
    <row r="198" spans="2:11" ht="43.5">
      <c r="B198" s="123">
        <v>155</v>
      </c>
      <c r="C198" s="205">
        <v>46027</v>
      </c>
      <c r="D198" s="123" t="s">
        <v>591</v>
      </c>
      <c r="E198" s="123" t="s">
        <v>592</v>
      </c>
      <c r="F198" s="183"/>
      <c r="G198" s="141" t="s">
        <v>585</v>
      </c>
      <c r="H198" s="133" t="s">
        <v>856</v>
      </c>
      <c r="I198" s="148" t="s">
        <v>13</v>
      </c>
      <c r="J198" s="134" t="s">
        <v>11</v>
      </c>
      <c r="K198" s="134" t="s">
        <v>11</v>
      </c>
    </row>
    <row r="199" spans="2:11" ht="43.5">
      <c r="B199" s="123">
        <v>156</v>
      </c>
      <c r="C199" s="205">
        <v>46028</v>
      </c>
      <c r="D199" s="123" t="s">
        <v>591</v>
      </c>
      <c r="E199" s="123" t="s">
        <v>592</v>
      </c>
      <c r="F199" s="183"/>
      <c r="G199" s="141" t="s">
        <v>585</v>
      </c>
      <c r="H199" s="133" t="s">
        <v>856</v>
      </c>
      <c r="I199" s="148" t="s">
        <v>13</v>
      </c>
      <c r="J199" s="134" t="s">
        <v>11</v>
      </c>
      <c r="K199" s="134" t="s">
        <v>11</v>
      </c>
    </row>
    <row r="200" spans="2:11">
      <c r="B200" s="123">
        <v>157</v>
      </c>
      <c r="C200" s="205">
        <v>46029</v>
      </c>
      <c r="D200" s="123" t="s">
        <v>591</v>
      </c>
      <c r="E200" s="123" t="s">
        <v>592</v>
      </c>
      <c r="F200" s="183"/>
      <c r="G200" s="141" t="s">
        <v>857</v>
      </c>
      <c r="H200" s="140" t="s">
        <v>588</v>
      </c>
      <c r="I200" s="148" t="s">
        <v>13</v>
      </c>
      <c r="J200" s="134" t="s">
        <v>11</v>
      </c>
      <c r="K200" s="134" t="s">
        <v>11</v>
      </c>
    </row>
    <row r="201" spans="2:11" ht="29.25">
      <c r="B201" s="123">
        <v>158</v>
      </c>
      <c r="C201" s="205">
        <v>46030</v>
      </c>
      <c r="D201" s="123" t="s">
        <v>591</v>
      </c>
      <c r="E201" s="123" t="s">
        <v>592</v>
      </c>
      <c r="F201" s="183"/>
      <c r="G201" s="187" t="s">
        <v>858</v>
      </c>
      <c r="H201" s="133" t="s">
        <v>859</v>
      </c>
      <c r="I201" s="148" t="s">
        <v>13</v>
      </c>
      <c r="J201" s="134" t="s">
        <v>11</v>
      </c>
      <c r="K201" s="134" t="s">
        <v>11</v>
      </c>
    </row>
    <row r="202" spans="2:11" ht="29.25">
      <c r="B202" s="123">
        <v>159</v>
      </c>
      <c r="C202" s="205">
        <v>46031</v>
      </c>
      <c r="D202" s="123" t="s">
        <v>591</v>
      </c>
      <c r="E202" s="123" t="s">
        <v>592</v>
      </c>
      <c r="F202" s="183"/>
      <c r="G202" s="187" t="s">
        <v>858</v>
      </c>
      <c r="H202" s="133" t="s">
        <v>859</v>
      </c>
      <c r="I202" s="148" t="s">
        <v>13</v>
      </c>
      <c r="J202" s="134" t="s">
        <v>11</v>
      </c>
      <c r="K202" s="134" t="s">
        <v>11</v>
      </c>
    </row>
    <row r="203" spans="2:11" ht="29.25">
      <c r="B203" s="123">
        <v>160</v>
      </c>
      <c r="C203" s="205">
        <v>46034</v>
      </c>
      <c r="D203" s="123" t="s">
        <v>591</v>
      </c>
      <c r="E203" s="123" t="s">
        <v>592</v>
      </c>
      <c r="F203" s="183"/>
      <c r="G203" s="187" t="s">
        <v>858</v>
      </c>
      <c r="H203" s="133" t="s">
        <v>859</v>
      </c>
      <c r="I203" s="148" t="s">
        <v>13</v>
      </c>
      <c r="J203" s="134" t="s">
        <v>11</v>
      </c>
      <c r="K203" s="134" t="s">
        <v>11</v>
      </c>
    </row>
    <row r="204" spans="2:11" ht="29.25">
      <c r="B204" s="123">
        <v>161</v>
      </c>
      <c r="C204" s="205">
        <v>46035</v>
      </c>
      <c r="D204" s="123" t="s">
        <v>591</v>
      </c>
      <c r="E204" s="123" t="s">
        <v>592</v>
      </c>
      <c r="F204" s="183"/>
      <c r="G204" s="187" t="s">
        <v>858</v>
      </c>
      <c r="H204" s="133" t="s">
        <v>859</v>
      </c>
      <c r="I204" s="148" t="s">
        <v>13</v>
      </c>
      <c r="J204" s="134" t="s">
        <v>11</v>
      </c>
      <c r="K204" s="134" t="s">
        <v>11</v>
      </c>
    </row>
    <row r="205" spans="2:11" ht="29.25">
      <c r="B205" s="123">
        <v>162</v>
      </c>
      <c r="C205" s="205">
        <v>46036</v>
      </c>
      <c r="D205" s="123" t="s">
        <v>591</v>
      </c>
      <c r="E205" s="123" t="s">
        <v>592</v>
      </c>
      <c r="F205" s="183"/>
      <c r="G205" s="187" t="s">
        <v>858</v>
      </c>
      <c r="H205" s="133" t="s">
        <v>859</v>
      </c>
      <c r="I205" s="148" t="s">
        <v>13</v>
      </c>
      <c r="J205" s="134" t="s">
        <v>11</v>
      </c>
      <c r="K205" s="134" t="s">
        <v>11</v>
      </c>
    </row>
    <row r="206" spans="2:11" ht="29.25">
      <c r="B206" s="123">
        <v>163</v>
      </c>
      <c r="C206" s="205">
        <v>46039</v>
      </c>
      <c r="D206" s="123" t="s">
        <v>591</v>
      </c>
      <c r="E206" s="123" t="s">
        <v>592</v>
      </c>
      <c r="F206" s="123"/>
      <c r="G206" s="187" t="s">
        <v>858</v>
      </c>
      <c r="H206" s="133" t="s">
        <v>859</v>
      </c>
      <c r="I206" s="148" t="s">
        <v>13</v>
      </c>
      <c r="J206" s="134" t="s">
        <v>11</v>
      </c>
      <c r="K206" s="134" t="s">
        <v>11</v>
      </c>
    </row>
    <row r="207" spans="2:11" ht="29.25">
      <c r="B207" s="123">
        <v>164</v>
      </c>
      <c r="C207" s="205">
        <v>46041</v>
      </c>
      <c r="D207" s="123" t="s">
        <v>591</v>
      </c>
      <c r="E207" s="123" t="s">
        <v>592</v>
      </c>
      <c r="F207" s="123"/>
      <c r="G207" s="187" t="s">
        <v>858</v>
      </c>
      <c r="H207" s="133" t="s">
        <v>859</v>
      </c>
      <c r="I207" s="148" t="s">
        <v>13</v>
      </c>
      <c r="J207" s="134" t="s">
        <v>11</v>
      </c>
      <c r="K207" s="134" t="s">
        <v>11</v>
      </c>
    </row>
    <row r="208" spans="2:11" ht="29.25">
      <c r="B208" s="123">
        <v>165</v>
      </c>
      <c r="C208" s="205">
        <v>46042</v>
      </c>
      <c r="D208" s="123" t="s">
        <v>591</v>
      </c>
      <c r="E208" s="123" t="s">
        <v>592</v>
      </c>
      <c r="F208" s="123"/>
      <c r="G208" s="187" t="s">
        <v>858</v>
      </c>
      <c r="H208" s="133" t="s">
        <v>859</v>
      </c>
      <c r="I208" s="148" t="s">
        <v>13</v>
      </c>
      <c r="J208" s="134" t="s">
        <v>11</v>
      </c>
      <c r="K208" s="134" t="s">
        <v>11</v>
      </c>
    </row>
  </sheetData>
  <mergeCells count="239">
    <mergeCell ref="B135:B136"/>
    <mergeCell ref="C135:C136"/>
    <mergeCell ref="D135:D136"/>
    <mergeCell ref="E135:E136"/>
    <mergeCell ref="F135:F136"/>
    <mergeCell ref="G135:G136"/>
    <mergeCell ref="H135:H136"/>
    <mergeCell ref="I135:I136"/>
    <mergeCell ref="K135:K136"/>
    <mergeCell ref="B90:B91"/>
    <mergeCell ref="C90:C91"/>
    <mergeCell ref="D90:D91"/>
    <mergeCell ref="E90:E91"/>
    <mergeCell ref="F90:F91"/>
    <mergeCell ref="H90:H91"/>
    <mergeCell ref="I90:I91"/>
    <mergeCell ref="K90:K91"/>
    <mergeCell ref="B110:B111"/>
    <mergeCell ref="C110:C111"/>
    <mergeCell ref="D110:D111"/>
    <mergeCell ref="E110:E111"/>
    <mergeCell ref="F110:F111"/>
    <mergeCell ref="H110:H111"/>
    <mergeCell ref="I110:I111"/>
    <mergeCell ref="K110:K111"/>
    <mergeCell ref="B108:B109"/>
    <mergeCell ref="C108:C109"/>
    <mergeCell ref="D108:D109"/>
    <mergeCell ref="E108:E109"/>
    <mergeCell ref="F108:F109"/>
    <mergeCell ref="H108:H109"/>
    <mergeCell ref="I108:I109"/>
    <mergeCell ref="K108:K109"/>
    <mergeCell ref="B84:B85"/>
    <mergeCell ref="B86:B87"/>
    <mergeCell ref="C86:C87"/>
    <mergeCell ref="D86:D87"/>
    <mergeCell ref="E86:E87"/>
    <mergeCell ref="F86:F87"/>
    <mergeCell ref="H86:H87"/>
    <mergeCell ref="I86:I87"/>
    <mergeCell ref="K86:K87"/>
    <mergeCell ref="C84:C85"/>
    <mergeCell ref="D84:D85"/>
    <mergeCell ref="E84:E85"/>
    <mergeCell ref="F84:F85"/>
    <mergeCell ref="H84:H85"/>
    <mergeCell ref="I84:I85"/>
    <mergeCell ref="K84:K85"/>
    <mergeCell ref="B13:B16"/>
    <mergeCell ref="B17:B20"/>
    <mergeCell ref="B23:B24"/>
    <mergeCell ref="B29:B30"/>
    <mergeCell ref="B40:B42"/>
    <mergeCell ref="B43:B45"/>
    <mergeCell ref="B46:B47"/>
    <mergeCell ref="B53:B55"/>
    <mergeCell ref="B56:B58"/>
    <mergeCell ref="B61:B63"/>
    <mergeCell ref="B64:B65"/>
    <mergeCell ref="B66:B67"/>
    <mergeCell ref="B70:B71"/>
    <mergeCell ref="B72:B73"/>
    <mergeCell ref="B74:B75"/>
    <mergeCell ref="B76:B77"/>
    <mergeCell ref="B78:B79"/>
    <mergeCell ref="E66:E67"/>
    <mergeCell ref="D64:D65"/>
    <mergeCell ref="E64:E65"/>
    <mergeCell ref="C61:C63"/>
    <mergeCell ref="C78:C79"/>
    <mergeCell ref="D78:D79"/>
    <mergeCell ref="E78:E79"/>
    <mergeCell ref="C64:C65"/>
    <mergeCell ref="E70:E71"/>
    <mergeCell ref="D61:D63"/>
    <mergeCell ref="F78:F79"/>
    <mergeCell ref="H78:H79"/>
    <mergeCell ref="I78:I79"/>
    <mergeCell ref="K78:K79"/>
    <mergeCell ref="H70:H71"/>
    <mergeCell ref="C66:C67"/>
    <mergeCell ref="I76:I77"/>
    <mergeCell ref="K76:K77"/>
    <mergeCell ref="D74:D75"/>
    <mergeCell ref="E74:E75"/>
    <mergeCell ref="D66:D67"/>
    <mergeCell ref="I66:I67"/>
    <mergeCell ref="K66:K67"/>
    <mergeCell ref="C76:C77"/>
    <mergeCell ref="D76:D77"/>
    <mergeCell ref="E76:E77"/>
    <mergeCell ref="F76:F77"/>
    <mergeCell ref="H76:H77"/>
    <mergeCell ref="C74:C75"/>
    <mergeCell ref="C72:C73"/>
    <mergeCell ref="D72:D73"/>
    <mergeCell ref="E72:E73"/>
    <mergeCell ref="C70:C71"/>
    <mergeCell ref="D70:D71"/>
    <mergeCell ref="I64:I65"/>
    <mergeCell ref="K64:K65"/>
    <mergeCell ref="I74:I75"/>
    <mergeCell ref="K74:K75"/>
    <mergeCell ref="F74:F75"/>
    <mergeCell ref="H74:H75"/>
    <mergeCell ref="I72:I73"/>
    <mergeCell ref="K72:K73"/>
    <mergeCell ref="K70:K71"/>
    <mergeCell ref="I70:I71"/>
    <mergeCell ref="F66:F67"/>
    <mergeCell ref="F72:F73"/>
    <mergeCell ref="H72:H73"/>
    <mergeCell ref="F70:F71"/>
    <mergeCell ref="F64:F65"/>
    <mergeCell ref="H64:H65"/>
    <mergeCell ref="H66:H67"/>
    <mergeCell ref="K40:K42"/>
    <mergeCell ref="D40:D42"/>
    <mergeCell ref="D43:D45"/>
    <mergeCell ref="E43:E45"/>
    <mergeCell ref="I46:I47"/>
    <mergeCell ref="F46:F47"/>
    <mergeCell ref="E46:E47"/>
    <mergeCell ref="K46:K47"/>
    <mergeCell ref="E40:E42"/>
    <mergeCell ref="F40:F42"/>
    <mergeCell ref="H40:H42"/>
    <mergeCell ref="I43:I45"/>
    <mergeCell ref="K43:K45"/>
    <mergeCell ref="H46:H47"/>
    <mergeCell ref="F43:F45"/>
    <mergeCell ref="H43:H45"/>
    <mergeCell ref="C13:C16"/>
    <mergeCell ref="D13:D16"/>
    <mergeCell ref="E13:E16"/>
    <mergeCell ref="F13:F16"/>
    <mergeCell ref="C17:C20"/>
    <mergeCell ref="D17:D20"/>
    <mergeCell ref="E17:E20"/>
    <mergeCell ref="F17:F20"/>
    <mergeCell ref="H17:H20"/>
    <mergeCell ref="K29:K30"/>
    <mergeCell ref="I29:I30"/>
    <mergeCell ref="H29:H30"/>
    <mergeCell ref="K13:K16"/>
    <mergeCell ref="H13:H16"/>
    <mergeCell ref="I13:I16"/>
    <mergeCell ref="K17:K20"/>
    <mergeCell ref="I17:I20"/>
    <mergeCell ref="I23:I24"/>
    <mergeCell ref="K23:K24"/>
    <mergeCell ref="H23:H24"/>
    <mergeCell ref="F29:F30"/>
    <mergeCell ref="D53:D55"/>
    <mergeCell ref="E53:E55"/>
    <mergeCell ref="I53:I55"/>
    <mergeCell ref="C23:C24"/>
    <mergeCell ref="C29:C30"/>
    <mergeCell ref="C40:C42"/>
    <mergeCell ref="C46:C47"/>
    <mergeCell ref="C43:C45"/>
    <mergeCell ref="E29:E30"/>
    <mergeCell ref="D46:D47"/>
    <mergeCell ref="D29:D30"/>
    <mergeCell ref="D23:D24"/>
    <mergeCell ref="E23:E24"/>
    <mergeCell ref="F23:F24"/>
    <mergeCell ref="I40:I42"/>
    <mergeCell ref="B112:B115"/>
    <mergeCell ref="C112:C115"/>
    <mergeCell ref="D112:D115"/>
    <mergeCell ref="E112:E115"/>
    <mergeCell ref="F112:F115"/>
    <mergeCell ref="H112:H115"/>
    <mergeCell ref="I112:I115"/>
    <mergeCell ref="K112:K115"/>
    <mergeCell ref="K53:K55"/>
    <mergeCell ref="K61:K63"/>
    <mergeCell ref="I56:I58"/>
    <mergeCell ref="K56:K58"/>
    <mergeCell ref="C56:C58"/>
    <mergeCell ref="D56:D58"/>
    <mergeCell ref="E56:E58"/>
    <mergeCell ref="F56:F58"/>
    <mergeCell ref="H56:H58"/>
    <mergeCell ref="E61:E63"/>
    <mergeCell ref="F61:F63"/>
    <mergeCell ref="H61:H63"/>
    <mergeCell ref="I61:I63"/>
    <mergeCell ref="C53:C55"/>
    <mergeCell ref="F53:F55"/>
    <mergeCell ref="H53:H55"/>
    <mergeCell ref="B125:B127"/>
    <mergeCell ref="C125:C127"/>
    <mergeCell ref="D125:D127"/>
    <mergeCell ref="E125:E127"/>
    <mergeCell ref="F125:F127"/>
    <mergeCell ref="H125:H127"/>
    <mergeCell ref="I125:I127"/>
    <mergeCell ref="K125:K127"/>
    <mergeCell ref="B123:B124"/>
    <mergeCell ref="C123:C124"/>
    <mergeCell ref="D123:D124"/>
    <mergeCell ref="E123:E124"/>
    <mergeCell ref="F123:F124"/>
    <mergeCell ref="H123:H124"/>
    <mergeCell ref="I123:I124"/>
    <mergeCell ref="K123:K124"/>
    <mergeCell ref="G125:G127"/>
    <mergeCell ref="B162:B163"/>
    <mergeCell ref="C162:C163"/>
    <mergeCell ref="D162:D163"/>
    <mergeCell ref="E162:E163"/>
    <mergeCell ref="I162:I163"/>
    <mergeCell ref="K162:K163"/>
    <mergeCell ref="B157:B158"/>
    <mergeCell ref="C157:C158"/>
    <mergeCell ref="D157:D158"/>
    <mergeCell ref="E157:E158"/>
    <mergeCell ref="F157:F158"/>
    <mergeCell ref="G157:G158"/>
    <mergeCell ref="H157:H158"/>
    <mergeCell ref="I157:I158"/>
    <mergeCell ref="K157:K158"/>
    <mergeCell ref="B180:B181"/>
    <mergeCell ref="C180:C181"/>
    <mergeCell ref="D180:D181"/>
    <mergeCell ref="E180:E181"/>
    <mergeCell ref="I180:I181"/>
    <mergeCell ref="K180:K181"/>
    <mergeCell ref="G180:G181"/>
    <mergeCell ref="H180:H181"/>
    <mergeCell ref="B169:B170"/>
    <mergeCell ref="C169:C170"/>
    <mergeCell ref="D169:D170"/>
    <mergeCell ref="E169:E170"/>
    <mergeCell ref="I169:I170"/>
    <mergeCell ref="K169:K170"/>
  </mergeCells>
  <dataValidations count="1">
    <dataValidation type="list" allowBlank="1" showInputMessage="1" showErrorMessage="1" sqref="K1 K13:K20" xr:uid="{C3CB4601-7838-4AAD-B412-8B68407CB12F}">
      <formula1>$O$3:$O$5</formula1>
    </dataValidation>
  </dataValidations>
  <hyperlinks>
    <hyperlink ref="J5" r:id="rId1" location="slide=id.p" xr:uid="{9FAC0FDD-5C2B-4D1B-A5A0-05F49655617F}"/>
    <hyperlink ref="J6" r:id="rId2" location="slide=id.p" xr:uid="{3D87FFD4-50F4-492A-8241-2752BDE8B151}"/>
    <hyperlink ref="J11" r:id="rId3" location="slide=id.p" xr:uid="{B55E3A9D-9E87-404C-A149-8B684E1CC4B5}"/>
    <hyperlink ref="J12" r:id="rId4" location="slide=id.g3699a812f5d_0_5" display="https://docs.google.com/presentation/d/1OI6CBo_IDA8ewS8zf5sRY-r8Lh0LLTmU4aolMFgALno/edit?slide=id.g3699a812f5d_0_5#slide=id.g3699a812f5d_0_5" xr:uid="{4AC8FA01-29F7-4BB7-83D5-CE4811C21B5F}"/>
    <hyperlink ref="J13" r:id="rId5" location="slide=id.g369c2b1f813_0_31" xr:uid="{1DF97F00-BA17-4AB9-B70E-5C90DC54460D}"/>
    <hyperlink ref="J14" r:id="rId6" location="slide=id.p" xr:uid="{29F5C671-28D5-47D0-961F-8F305546385A}"/>
    <hyperlink ref="J15" r:id="rId7" location="slide=id.g369c7b6c899_0_8" xr:uid="{ED642C52-00EF-46C1-B33B-F5A0AB6472AF}"/>
    <hyperlink ref="J16" r:id="rId8" xr:uid="{23BD016D-E767-4A6E-B0D4-D23FB612F55C}"/>
    <hyperlink ref="J17" r:id="rId9" location="slide=id.g3699a812f5d_0_225" xr:uid="{962C41BA-48EF-4CCF-AE27-F14D0AF1DD87}"/>
    <hyperlink ref="J18" r:id="rId10" location="slide=id.p" xr:uid="{DBC20831-AF07-4C9C-9B8C-E909A3BA5079}"/>
    <hyperlink ref="J19" r:id="rId11" xr:uid="{97089C0B-3D59-4900-9F18-DCED3C950B2F}"/>
    <hyperlink ref="J20" r:id="rId12" xr:uid="{1CC3AD67-D916-4E5A-9B8E-A9E54090FA25}"/>
    <hyperlink ref="J21" r:id="rId13" location="slide=id.p" xr:uid="{648C2F09-0E4C-4E4E-89C1-AD092785CFEC}"/>
    <hyperlink ref="J22" r:id="rId14" location="slide=id.p" xr:uid="{650888AF-AC87-486A-AFC9-F082028CAE55}"/>
    <hyperlink ref="J24" r:id="rId15" location="slide=id.p" xr:uid="{A258B65C-409C-484A-BD3F-F25849A9A722}"/>
    <hyperlink ref="J23" r:id="rId16" location="slide=id.g36a00600d67_0_0" xr:uid="{20BED6ED-657F-4141-BBCB-8B830C5A67B7}"/>
    <hyperlink ref="J25" r:id="rId17" location="slide=id.p" display="https://docs.google.com/presentation/d/1H6bqGpbcUfzOwNPfp5-hh74uMQ32gSIVRooqx8ANwYk/edit?slide=id.p#slide=id.p" xr:uid="{F3F09030-AE51-4643-8324-BD8DE32ACCC1}"/>
    <hyperlink ref="J26" r:id="rId18" location="slide=id.g36c7cfaf23a_0_296" xr:uid="{56E19FC5-640A-4ACB-87F9-637D69A56397}"/>
    <hyperlink ref="J27" r:id="rId19" location="slide=id.g36c7cfaf23a_0_49" xr:uid="{F4B8C735-174C-412B-8142-371FA48C9175}"/>
    <hyperlink ref="J28" r:id="rId20" xr:uid="{B24EDD8E-30AD-4B4A-9183-ED702F6B42A7}"/>
    <hyperlink ref="J29" r:id="rId21" xr:uid="{C46D02E6-22EE-4CCB-8595-791F14F67856}"/>
    <hyperlink ref="J30" r:id="rId22" location="slide=id.g36ba564c0c5_0_14" display="https://docs.google.com/presentation/d/1Ts-xD6Hz3H5rtA7wCJptmU-_vjpDq5qvQTBkR4Srlso/edit?slide=id.g36ba564c0c5_0_14#slide=id.g36ba564c0c5_0_14" xr:uid="{CC3F06C0-5BF8-40A2-BD2A-19519D8353E3}"/>
    <hyperlink ref="J31" r:id="rId23" display="https://cad.onshape.com/documents/b9344a7044acc0de0f742920/w/eb88daa1b5f1be85ac6ed994/e/3aeb055cdf27c8f51297ca85?renderMode=0&amp;uiState=686e5193b1b1eb3d6f78f79e" xr:uid="{F76433C4-6D19-4ADF-99F0-067C97718021}"/>
    <hyperlink ref="J32" r:id="rId24" xr:uid="{4155BC3B-E173-4BFE-ADA2-5DAAD73A7B62}"/>
    <hyperlink ref="J35" r:id="rId25" xr:uid="{E2A750E0-0281-4C1C-9679-00A44B4AA883}"/>
    <hyperlink ref="J36" r:id="rId26" xr:uid="{995778CA-0E44-426B-BE1B-40457AF2654C}"/>
    <hyperlink ref="J39" r:id="rId27" location="slide=id.p" xr:uid="{D3BD20BE-C7D9-4462-8F45-CE1CDE8E9828}"/>
    <hyperlink ref="J40" r:id="rId28" location="slide=id.g370d0714745_0_1" xr:uid="{C56869BC-7E35-421C-81D8-E66FDD7D012E}"/>
    <hyperlink ref="J41" r:id="rId29" location="slide=id.p" display="https://docs.google.com/presentation/d/1mdLwkibwltw28IgQ1fRIZutMXrAUOHY1hZZkm9g1XYA/edit?slide=id.p#slide=id.p" xr:uid="{A2FCB805-D58B-4911-AA44-90E9AFB7C709}"/>
    <hyperlink ref="J42" r:id="rId30" location="slide=id.p" xr:uid="{2A2CF7B2-ACCC-400D-8571-23B702D4900A}"/>
    <hyperlink ref="J43" r:id="rId31" location="slide=id.g36f64ccf516_0_9" xr:uid="{B89F65D5-D9BE-4767-B489-FA3E435ED1B5}"/>
    <hyperlink ref="J44" r:id="rId32" location="slide=id.g36f5ad442fd_0_1" xr:uid="{E5A90E87-1CCB-4021-A33E-F93EC9BD28F2}"/>
    <hyperlink ref="J45" r:id="rId33" location="slide=id.p" display="https://docs.google.com/presentation/d/1mB9eIQGxdGlZzVsoFrbW57T8mX94mk2ji6FZuJ2uYjg/edit?slide=id.p#slide=id.p" xr:uid="{993D9505-E347-4363-B371-790920217F67}"/>
    <hyperlink ref="J46" r:id="rId34" location="slide=id.g36f29e9047d_0_0" xr:uid="{82E5BFB0-225D-4AEE-88AA-D13DED0A021C}"/>
    <hyperlink ref="J47" r:id="rId35" location="slide=id.g37120be9ba6_0_24" display="https://docs.google.com/presentation/d/1gEaU_F5AYFKe0u6uI8n7_Txd15gC20_L_Krm3F51ZKM/edit?slide=id.g37120be9ba6_0_24#slide=id.g37120be9ba6_0_24" xr:uid="{6B7F497F-59A4-4917-AD85-BF6E8205FC3A}"/>
    <hyperlink ref="J48" r:id="rId36" location="slide=id.p" xr:uid="{8FE28CCE-EA3C-41BA-840D-8F97D8BDBD78}"/>
    <hyperlink ref="J49" r:id="rId37" location="slide=id.g37170281507_0_9" xr:uid="{C0B5516B-4CBD-4A30-A59C-852E6EA1887C}"/>
    <hyperlink ref="J50" r:id="rId38" location="slide=id.p" xr:uid="{EB0D2D4B-F257-43A8-BD79-5CCFDB6976B9}"/>
    <hyperlink ref="J51" r:id="rId39" location="slide=id.p" xr:uid="{1C48D1A3-C671-4BEB-989F-A9399E176B21}"/>
    <hyperlink ref="J52" r:id="rId40" location="slide=id.p" xr:uid="{F3A71289-9E48-41F8-92E8-70F5DC98F494}"/>
    <hyperlink ref="J53" r:id="rId41" location="slide=id.p" xr:uid="{47426835-44DE-4A7E-B77E-048B2F484600}"/>
    <hyperlink ref="J54" r:id="rId42" location="slide=id.p" display="https://docs.google.com/presentation/d/1IGiy30gnfSYAOwixpqYriw-1nZwW7PVFpHsZOl15Xqk/edit?slide=id.p#slide=id.p" xr:uid="{2A821B54-14EC-4814-A211-9AF129E8DFFE}"/>
    <hyperlink ref="J55" r:id="rId43" location="slide=id.p" display="https://docs.google.com/presentation/d/1HKcZJQGgJ-lgH-AfXLHV6uCoHETQwyntnyz65DWRnOs/edit?slide=id.p#slide=id.p" xr:uid="{5AE29E69-0ECD-4F0A-AE5C-5DC0AC02034F}"/>
    <hyperlink ref="J56" r:id="rId44" location="slide=id.p" xr:uid="{AF5A99E6-44CE-428F-AE26-C8A72845236D}"/>
    <hyperlink ref="J57" r:id="rId45" location="slide=id.g373e21e48dc_0_0" xr:uid="{4576CCCA-9B60-47BB-84D0-758267E1BE72}"/>
    <hyperlink ref="J58" r:id="rId46" location="slide=id.g3721408f654_0_5" xr:uid="{CCF8400D-9571-439E-9494-C2E4B21060BD}"/>
    <hyperlink ref="J59" r:id="rId47" location="slide=id.p" xr:uid="{F0B843B2-8D24-4EFD-8926-78D952FE382D}"/>
    <hyperlink ref="J60" r:id="rId48" location="slide=id.p" xr:uid="{1BA0984F-0063-4CDA-AD1F-C8A9AE023B7C}"/>
    <hyperlink ref="J61" r:id="rId49" location="slide=id.p" xr:uid="{80E28A3B-EA5C-4635-A156-A2AE4F1D78AD}"/>
    <hyperlink ref="J62" r:id="rId50" location="slide=id.p" display="https://docs.google.com/presentation/d/11icvMeVcMN9JIRCnwMu_y0S1NM9H46vr_t_dxAeoofo/edit?slide=id.p#slide=id.p" xr:uid="{70A54DB3-66D6-40F4-A79A-35C8AA29AB82}"/>
    <hyperlink ref="J63" r:id="rId51" location="slide=id.p" display="https://docs.google.com/presentation/d/1rg05UOdrg-fuPY7iIMxn0O9w6yk6bLLf51t2FzpbYGA/edit?slide=id.p#slide=id.p" xr:uid="{84F4A459-7D2A-4B96-9A91-164292A03DF0}"/>
    <hyperlink ref="J64" r:id="rId52" location="slide=id.p" xr:uid="{FECCB6C3-0597-442C-8F65-8FBC48E6A9AB}"/>
    <hyperlink ref="J65" r:id="rId53" location="slide=id.p" xr:uid="{7D8EF6D0-A1A2-4CE3-98F6-22D992E0425A}"/>
    <hyperlink ref="J66" r:id="rId54" location="slide=id.p" xr:uid="{B3D4F691-A8C8-454B-94D4-31994C09E915}"/>
    <hyperlink ref="J67" r:id="rId55" location="slide=id.p" xr:uid="{2A25D209-9511-453D-A523-F0172C52704B}"/>
    <hyperlink ref="J68" r:id="rId56" location="slide=id.g36b8edd811c_0_0" xr:uid="{61520550-E44F-49AC-83CF-7DAA58A8F36E}"/>
    <hyperlink ref="J69" r:id="rId57" xr:uid="{E5166847-C88D-4CC1-8403-5C52E6C457AA}"/>
    <hyperlink ref="J70" r:id="rId58" location="slide=id.p" xr:uid="{8F05846F-A866-4B4E-9A5A-7C184B5E927C}"/>
    <hyperlink ref="J71" r:id="rId59" location="slide=id.p" display="https://docs.google.com/presentation/d/1l4gVdWzoWRud1xaTgip4MzXhYvIcVmr-LkmfACky3OM/edit?slide=id.p#slide=id.p" xr:uid="{8AF00842-F6DD-4EE5-B188-EC20E3730B3B}"/>
    <hyperlink ref="J72" r:id="rId60" location="slide=id.p" xr:uid="{2F5179DF-AB0E-49C6-B3A2-9EB4D860A437}"/>
    <hyperlink ref="J73" r:id="rId61" location="slide=id.p" xr:uid="{B7B1A168-29FD-4EB9-883B-926A15CB05C5}"/>
    <hyperlink ref="J74" r:id="rId62" location="slide=id.p" xr:uid="{90457920-0B9C-4C67-B45B-F0E2E1ADA1CC}"/>
    <hyperlink ref="J75" r:id="rId63" location="slide=id.p" xr:uid="{59AE34CE-5175-4DC1-A34F-BD64D150A515}"/>
    <hyperlink ref="J76" r:id="rId64" location="slide=id.p" xr:uid="{916EAF11-9C0D-4E5E-9F4B-2B3B584D3BF4}"/>
    <hyperlink ref="J77" r:id="rId65" location="slide=id.p" xr:uid="{1C59DC60-7292-4809-A7E1-A1AA0942898D}"/>
    <hyperlink ref="J78" r:id="rId66" location="slide=id.p" xr:uid="{363C853E-836A-4CF3-97AC-E2229015D902}"/>
    <hyperlink ref="J79" r:id="rId67" location="slide=id.p" xr:uid="{3CE5986A-DF53-4576-908D-0592C90A8081}"/>
    <hyperlink ref="J80" r:id="rId68" location="slide=id.p" xr:uid="{1F78EF10-07E3-475C-A872-33C625EE1DA4}"/>
    <hyperlink ref="J81" r:id="rId69" location="slide=id.p" xr:uid="{CF51CCC9-CF81-46D3-BEB2-EE82F2FE2054}"/>
    <hyperlink ref="J82" r:id="rId70" location="slide=id.p" xr:uid="{6B82444E-D886-447E-9866-2BBECD7E39C2}"/>
    <hyperlink ref="J83" r:id="rId71" location="slide=id.p" xr:uid="{ECDDF243-0068-4210-91B4-CE93AD318B76}"/>
    <hyperlink ref="J84" r:id="rId72" location="slide=id.p" xr:uid="{34684401-5689-49B6-B7CE-A866BC329CB9}"/>
    <hyperlink ref="J85" r:id="rId73" location="slide=id.p" display="https://docs.google.com/presentation/d/1_oMpjbktz4_3TWD2bqqU7FFLw3n-IljtxeRwgXPwT3E/edit?slide=id.p#slide=id.p" xr:uid="{D109CA56-FB5C-4AC4-BE29-A7A4ED61FECE}"/>
    <hyperlink ref="J86" r:id="rId74" location="slide=id.p" xr:uid="{40C9AE7D-2161-4C97-95E4-68A6C744D268}"/>
    <hyperlink ref="J87" r:id="rId75" location="slide=id.p" xr:uid="{DBF8F43B-563B-4BA3-8826-386B1C0F7F0B}"/>
    <hyperlink ref="J88" r:id="rId76" location="slide=id.p" xr:uid="{FA595E86-B0D5-4E38-805B-0C3238EF1CF1}"/>
    <hyperlink ref="J89" r:id="rId77" location="slide=id.p" xr:uid="{32680D42-A1C5-4375-92CE-37AE1451F7EF}"/>
    <hyperlink ref="J90" r:id="rId78" location="slide=id.p" xr:uid="{29E19CDD-6465-4FC4-A466-CF6CB2227B25}"/>
    <hyperlink ref="J91" r:id="rId79" location="slide=id.p" display="https://docs.google.com/presentation/d/1_oMpjbktz4_3TWD2bqqU7FFLw3n-IljtxeRwgXPwT3E/edit?slide=id.p#slide=id.p" xr:uid="{8797D44F-35A6-4158-9F1E-107968B7946A}"/>
    <hyperlink ref="J92" r:id="rId80" location="slide=id.p" xr:uid="{9269F6E6-BB20-4016-9530-220C0E3E0501}"/>
    <hyperlink ref="J93" r:id="rId81" location="slide=id.p" xr:uid="{20FECCD6-8791-460C-924E-63AC815DE081}"/>
    <hyperlink ref="J100" r:id="rId82" location="slide=id.g388a6696662_0_1" xr:uid="{C6919841-8283-416B-A5D3-6F77B2014E80}"/>
    <hyperlink ref="J101" r:id="rId83" location="slide=id.p" xr:uid="{5A0C2CF7-DFD4-4694-82CD-4ADAA402A63D}"/>
    <hyperlink ref="J102" r:id="rId84" location="slide=id.p" xr:uid="{63D40519-FBBB-4BE2-B936-8EE0F7E414FC}"/>
    <hyperlink ref="J103" r:id="rId85" location="slide=id.p" xr:uid="{2ADF5869-B8AE-42AD-8974-D6E820AA8A0E}"/>
    <hyperlink ref="J104" r:id="rId86" location="slide=id.p" xr:uid="{52DE0DA5-79B1-410A-A66D-854A159FC230}"/>
    <hyperlink ref="J105" r:id="rId87" location="slide=id.p" xr:uid="{25E49191-69E0-4FB7-B60A-36B50CDECB27}"/>
    <hyperlink ref="J106" r:id="rId88" location="slide=id.p" xr:uid="{BE35F728-1F91-4B58-95EC-9022391962F5}"/>
    <hyperlink ref="J107" r:id="rId89" location="slide=id.p" xr:uid="{75F182C5-681B-4203-AFC1-BC5434FD3744}"/>
    <hyperlink ref="J108" r:id="rId90" location="slide=id.g3699a812f5d_0_225" xr:uid="{D568A2EC-A6DC-4718-9989-E424256CABD2}"/>
    <hyperlink ref="J109" r:id="rId91" location="slide=id.p" display="https://docs.google.com/presentation/d/1mQfqKUlYow3j6mz75E9d0Lz3qXKk84LEbvqVSYWHuUU/edit?slide=id.p#slide=id.p" xr:uid="{EC3743CE-1FB7-4C62-9D69-37B1182B2B2F}"/>
    <hyperlink ref="J110" r:id="rId92" location="slide=id.p" xr:uid="{4B183A83-5F7F-4765-B362-D3A8C97C3D61}"/>
    <hyperlink ref="J111" r:id="rId93" location="slide=id.p" xr:uid="{E61E8586-0D0F-4444-8CDB-57F8A6777740}"/>
    <hyperlink ref="J112" r:id="rId94" location="slide=id.p" xr:uid="{36FF7C07-55BF-412D-A9B7-F39044D1645B}"/>
    <hyperlink ref="J113" r:id="rId95" location="slide=id.p" xr:uid="{19BBC8B1-CB3E-415C-9772-2AC839547984}"/>
    <hyperlink ref="J114" r:id="rId96" location="slide=id.p" xr:uid="{773BE2BF-0BF8-4F59-95A0-1C64296BFDF0}"/>
    <hyperlink ref="J115" r:id="rId97" location="slide=id.p" xr:uid="{FFCD93FA-F019-4F61-8531-2B8B7B467A5E}"/>
    <hyperlink ref="J116" r:id="rId98" location="slide=id.p" xr:uid="{FF7C478B-AFCC-44BF-A6E8-2A0E22810336}"/>
    <hyperlink ref="J117" r:id="rId99" location="slide=id.p" xr:uid="{7A5ADBF5-8AF6-4465-991C-D287C0FA0A31}"/>
    <hyperlink ref="J123" r:id="rId100" location="slide=id.p" xr:uid="{264F03CF-DA72-4360-8760-DB2D91F875E4}"/>
    <hyperlink ref="J124" r:id="rId101" location="slide=id.p" display="https://docs.google.com/presentation/d/1Hlf7-mAN4mZW2GZh9kNtpjOpUHAg3rRyIsM8ZxIxPOQ/edit?slide=id.p#slide=id.p" xr:uid="{CCC63FA2-1200-4BFD-AE55-CEF8019CC2E2}"/>
    <hyperlink ref="J125" r:id="rId102" location="slide=id.g388a6696662_0_1" xr:uid="{5E9CC11D-E61F-4F55-A847-FD9C12479139}"/>
    <hyperlink ref="J126" r:id="rId103" location="slide=id.p" display="https://docs.google.com/presentation/d/1yyc8piftoSmhsD7AhfjntfUciVeuWtOEN81C2SayRPY/edit?slide=id.p#slide=id.p" xr:uid="{C9A79F87-74E7-4994-AA47-32AD39A5434D}"/>
    <hyperlink ref="J127" r:id="rId104" location="slide=id.p" display="https://docs.google.com/presentation/d/1Hlf7-mAN4mZW2GZh9kNtpjOpUHAg3rRyIsM8ZxIxPOQ/edit?slide=id.p#slide=id.p" xr:uid="{82D0D040-FE96-41C7-8B1B-5FE85FA58910}"/>
    <hyperlink ref="J128" r:id="rId105" xr:uid="{2BEF1ACE-EB7F-4E58-906C-1BB08B9DEEF9}"/>
    <hyperlink ref="J131" r:id="rId106" location="slide=id.p" xr:uid="{6112A4A0-7092-496A-8174-6271F1A342AC}"/>
    <hyperlink ref="J132" r:id="rId107" location="slide=id.p" xr:uid="{24E3F871-328D-48B7-9E25-A286DEEC19CD}"/>
    <hyperlink ref="J133" r:id="rId108" location="slide=id.p" xr:uid="{407FDF2B-F96F-4D1D-96EA-CB908914AA9E}"/>
    <hyperlink ref="J134" r:id="rId109" location="slide=id.p" xr:uid="{86DF3E90-EA8C-412F-B09B-D397D3B1382D}"/>
    <hyperlink ref="J135" r:id="rId110" location="slide=id.p" xr:uid="{8D0010D3-8466-476D-9A22-510597068674}"/>
    <hyperlink ref="J136" r:id="rId111" location="slide=id.p" xr:uid="{2603EA76-69F3-491B-AA02-7130C6E42F20}"/>
    <hyperlink ref="J137" r:id="rId112" xr:uid="{744C52E6-AF50-4AA6-84B0-D63DD48F6B80}"/>
    <hyperlink ref="J140" r:id="rId113" xr:uid="{816FBC86-7F9B-42DF-B1BB-518C5194CA56}"/>
    <hyperlink ref="J142" r:id="rId114" location="slide=id.p" xr:uid="{5F2712D0-F4CC-4E84-9EB8-7D726ADC08A3}"/>
    <hyperlink ref="J143" r:id="rId115" xr:uid="{52FF54F1-3FAE-484B-80C0-2845D1A10070}"/>
    <hyperlink ref="J151" r:id="rId116" location="slide=id.g3a0722e8fad_0_6" xr:uid="{25F2E1C1-B352-4205-924E-0971B694345F}"/>
    <hyperlink ref="J155" r:id="rId117" location="slide=id.g3a0722e8fad_0_6" xr:uid="{333E713E-F7DB-4880-8BEE-DA60AFCA8463}"/>
    <hyperlink ref="J157" r:id="rId118" location="slide=id.p" xr:uid="{60FCA2FA-542B-4D9C-8869-BAB1B3824B46}"/>
    <hyperlink ref="J158" r:id="rId119" location="slide=id.p" display="https://docs.google.com/presentation/d/1Hlf7-mAN4mZW2GZh9kNtpjOpUHAg3rRyIsM8ZxIxPOQ/edit?slide=id.p#slide=id.p" xr:uid="{FBE5DD0C-E024-40F4-ACCB-B1A0714FF4F7}"/>
    <hyperlink ref="J162" r:id="rId120" location="slide=id.g3a0722e8fad_0_6" xr:uid="{8BDA5727-28BE-4D52-8BC9-2F66B404CDD2}"/>
    <hyperlink ref="J163" r:id="rId121" xr:uid="{515E4B3C-8708-40C7-AF30-F390BFD85DB0}"/>
    <hyperlink ref="J164" r:id="rId122" location="slide=id.p" xr:uid="{7F9E23A2-4E1B-4AD1-B6ED-8E77260D9851}"/>
    <hyperlink ref="J167" r:id="rId123" xr:uid="{DA71D222-CF05-495E-A320-2AE967A7753C}"/>
    <hyperlink ref="J169" r:id="rId124" location="slide=id.g3699a812f5d_0_225" xr:uid="{B64F52C5-A1DF-4578-BA5E-F4EC594DA740}"/>
    <hyperlink ref="J170" r:id="rId125" display="https://cad.onshape.com/documents/9b15b753b54f085a266e0c75/w/ffe9a584218f476146514127/e/20d7b9be1924c4289f200249?renderMode=0&amp;uiState=6929934f9aa4b85cf5ccc85f" xr:uid="{4C05ED1F-925C-4AAE-81AA-B623DA9ABC0B}"/>
    <hyperlink ref="J171" r:id="rId126" location="slide=id.p" xr:uid="{E11529B5-33CC-4B91-8080-6B7C7D328627}"/>
    <hyperlink ref="J172" r:id="rId127" location="slide=id.p" xr:uid="{780FE27C-1D11-4BAC-A600-AE8CFBFEF9D5}"/>
    <hyperlink ref="J173" r:id="rId128" xr:uid="{F986572B-1146-4E3F-AE48-E8AA8449682B}"/>
    <hyperlink ref="J175" r:id="rId129" location="slide=id.p" xr:uid="{2BEE3E13-963D-4D74-9948-1DE467173D68}"/>
    <hyperlink ref="J176" r:id="rId130" location="slide=id.g3a0722e8fad_0_6" xr:uid="{66A7F6FB-59AD-4F58-B583-CB5278FB22FE}"/>
    <hyperlink ref="J177" r:id="rId131" location="slide=id.g3a0722e8fad_0_6" xr:uid="{25259D97-A3D1-4AD3-B8CC-AB00EB87E42A}"/>
    <hyperlink ref="J178" r:id="rId132" location="slide=id.p" xr:uid="{50323463-B76F-47F1-98A8-75114C68AA41}"/>
    <hyperlink ref="J179" r:id="rId133" location="slide=id.p" xr:uid="{CA17711F-EBF1-40C6-8CB2-1841D43E4D34}"/>
    <hyperlink ref="J181" r:id="rId134" location="slide=id.p1" display="https://docs.google.com/presentation/d/1cvz6P9fsKZ-mUZiL_4LkIv0kriR7Va8y/edit?slide=id.p1#slide=id.p1" xr:uid="{55D48072-F489-4BA1-A08F-CF69402FE0F8}"/>
    <hyperlink ref="J180" r:id="rId135" location="slide=id.g3699a812f5d_0_225" xr:uid="{B00D95F5-68CF-4E9F-AE1D-F2B556215B52}"/>
    <hyperlink ref="J182" r:id="rId136" location="slide=id.g3699a812f5d_0_225" xr:uid="{DBA89E23-818C-4276-9F0D-C54AA008A081}"/>
    <hyperlink ref="J184" r:id="rId137" xr:uid="{87D8875A-BE40-47AB-B8D5-9C21F07B81F6}"/>
    <hyperlink ref="J185" r:id="rId138" location="slide=id.p" xr:uid="{42FC6810-BAD1-485F-9EBA-B603257EDA2B}"/>
    <hyperlink ref="J186" r:id="rId139" location="gid=127426515" xr:uid="{61BA251D-5E6D-42E6-B736-F5B12245BC34}"/>
    <hyperlink ref="J191" r:id="rId140" location="slide=id.g3a0722e8fad_0_6" xr:uid="{28855EBF-BC3C-4768-94CC-E11D13ED14D2}"/>
    <hyperlink ref="J192" r:id="rId141" location="slide=id.g3a0722e8fad_0_6" display="https://docs.google.com/presentation/d/1LgpXNRoGJQ28GPWeBqy4iXQ2rg5evlk2xL5wEnuHrx0/edit?slide=id.g3a0722e8fad_0_6#slide=id.g3a0722e8fad_0_6" xr:uid="{F3FDF6D8-C993-4A2A-AA0C-0D004D0AD276}"/>
    <hyperlink ref="J196" r:id="rId142" location="slide=id.g3a0722e8fad_0_6" display="https://docs.google.com/presentation/d/1LgpXNRoGJQ28GPWeBqy4iXQ2rg5evlk2xL5wEnuHrx0/edit?slide=id.g3a0722e8fad_0_6#slide=id.g3a0722e8fad_0_6" xr:uid="{D7BE33E4-5CB0-4D9E-855D-A3E6FFAF00E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08970-945F-41F0-B4C7-AAFE52C45AEC}">
  <dimension ref="A3:D15"/>
  <sheetViews>
    <sheetView workbookViewId="0">
      <selection activeCell="D5" sqref="D5"/>
    </sheetView>
  </sheetViews>
  <sheetFormatPr defaultRowHeight="15"/>
  <cols>
    <col min="1" max="1" width="21.28515625" bestFit="1" customWidth="1"/>
    <col min="2" max="2" width="16.140625" bestFit="1" customWidth="1"/>
    <col min="3" max="3" width="4.28515625" bestFit="1" customWidth="1"/>
    <col min="4" max="4" width="11.42578125" bestFit="1" customWidth="1"/>
    <col min="5" max="5" width="4.7109375" bestFit="1" customWidth="1"/>
    <col min="6" max="6" width="3.5703125" bestFit="1" customWidth="1"/>
    <col min="7" max="7" width="4.42578125" bestFit="1" customWidth="1"/>
    <col min="8" max="8" width="4.5703125" bestFit="1" customWidth="1"/>
    <col min="9" max="9" width="4.28515625" bestFit="1" customWidth="1"/>
    <col min="10" max="10" width="4.5703125" bestFit="1" customWidth="1"/>
    <col min="11" max="11" width="11.42578125" bestFit="1" customWidth="1"/>
  </cols>
  <sheetData>
    <row r="3" spans="1:4">
      <c r="A3" s="232" t="s">
        <v>860</v>
      </c>
      <c r="B3" s="232" t="s">
        <v>178</v>
      </c>
    </row>
    <row r="4" spans="1:4">
      <c r="A4" s="232" t="s">
        <v>184</v>
      </c>
      <c r="B4" t="s">
        <v>207</v>
      </c>
      <c r="C4" t="s">
        <v>183</v>
      </c>
      <c r="D4" t="s">
        <v>861</v>
      </c>
    </row>
    <row r="5" spans="1:4">
      <c r="A5" t="s">
        <v>862</v>
      </c>
      <c r="C5">
        <v>3</v>
      </c>
      <c r="D5">
        <v>3</v>
      </c>
    </row>
    <row r="6" spans="1:4">
      <c r="A6" t="s">
        <v>863</v>
      </c>
      <c r="C6">
        <v>6</v>
      </c>
      <c r="D6">
        <v>6</v>
      </c>
    </row>
    <row r="7" spans="1:4">
      <c r="A7" t="s">
        <v>864</v>
      </c>
      <c r="B7">
        <v>1</v>
      </c>
      <c r="D7">
        <v>1</v>
      </c>
    </row>
    <row r="8" spans="1:4">
      <c r="A8" t="s">
        <v>865</v>
      </c>
      <c r="C8">
        <v>5</v>
      </c>
      <c r="D8">
        <v>5</v>
      </c>
    </row>
    <row r="9" spans="1:4">
      <c r="A9" t="s">
        <v>866</v>
      </c>
      <c r="B9">
        <v>4</v>
      </c>
      <c r="C9">
        <v>1</v>
      </c>
      <c r="D9">
        <v>5</v>
      </c>
    </row>
    <row r="10" spans="1:4">
      <c r="A10" t="s">
        <v>867</v>
      </c>
      <c r="B10">
        <v>1</v>
      </c>
      <c r="C10">
        <v>4</v>
      </c>
      <c r="D10">
        <v>5</v>
      </c>
    </row>
    <row r="11" spans="1:4">
      <c r="A11" t="s">
        <v>868</v>
      </c>
      <c r="B11">
        <v>3</v>
      </c>
      <c r="D11">
        <v>3</v>
      </c>
    </row>
    <row r="12" spans="1:4">
      <c r="A12" t="s">
        <v>869</v>
      </c>
      <c r="B12">
        <v>4</v>
      </c>
      <c r="D12">
        <v>4</v>
      </c>
    </row>
    <row r="13" spans="1:4">
      <c r="A13" t="s">
        <v>870</v>
      </c>
      <c r="B13">
        <v>2</v>
      </c>
      <c r="D13">
        <v>2</v>
      </c>
    </row>
    <row r="14" spans="1:4">
      <c r="A14" t="s">
        <v>871</v>
      </c>
      <c r="B14">
        <v>2</v>
      </c>
      <c r="D14">
        <v>2</v>
      </c>
    </row>
    <row r="15" spans="1:4">
      <c r="A15" t="s">
        <v>861</v>
      </c>
      <c r="B15">
        <v>17</v>
      </c>
      <c r="C15">
        <v>19</v>
      </c>
      <c r="D15">
        <v>36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B0D1B-1DF5-4848-B72D-1447DD658943}">
  <dimension ref="B2:U39"/>
  <sheetViews>
    <sheetView topLeftCell="A33" workbookViewId="0">
      <selection activeCell="J51" sqref="J51"/>
    </sheetView>
  </sheetViews>
  <sheetFormatPr defaultRowHeight="15"/>
  <cols>
    <col min="2" max="2" width="5.28515625" bestFit="1" customWidth="1"/>
    <col min="3" max="3" width="8.42578125" customWidth="1"/>
    <col min="4" max="4" width="12.140625" bestFit="1" customWidth="1"/>
    <col min="5" max="5" width="29.28515625" customWidth="1"/>
    <col min="6" max="6" width="16" bestFit="1" customWidth="1"/>
    <col min="7" max="7" width="47.85546875" customWidth="1"/>
    <col min="8" max="8" width="15" bestFit="1" customWidth="1"/>
    <col min="9" max="9" width="15.7109375" customWidth="1"/>
    <col min="10" max="10" width="15.42578125" customWidth="1"/>
    <col min="13" max="13" width="14.140625" customWidth="1"/>
    <col min="14" max="14" width="22.42578125" customWidth="1"/>
    <col min="15" max="15" width="18.140625" customWidth="1"/>
    <col min="16" max="16" width="16.7109375" customWidth="1"/>
    <col min="19" max="19" width="22.42578125" bestFit="1" customWidth="1"/>
    <col min="20" max="20" width="23.5703125" bestFit="1" customWidth="1"/>
    <col min="21" max="21" width="30.28515625" bestFit="1" customWidth="1"/>
  </cols>
  <sheetData>
    <row r="2" spans="2:21" ht="31.5">
      <c r="B2" s="225" t="s">
        <v>172</v>
      </c>
      <c r="C2" s="231" t="s">
        <v>184</v>
      </c>
      <c r="D2" s="226" t="s">
        <v>173</v>
      </c>
      <c r="E2" s="226" t="s">
        <v>174</v>
      </c>
      <c r="F2" s="226" t="s">
        <v>175</v>
      </c>
      <c r="G2" s="226" t="s">
        <v>176</v>
      </c>
      <c r="H2" s="226" t="s">
        <v>177</v>
      </c>
      <c r="I2" s="230" t="s">
        <v>872</v>
      </c>
      <c r="J2" s="96" t="s">
        <v>178</v>
      </c>
      <c r="M2" s="230" t="s">
        <v>184</v>
      </c>
      <c r="N2" s="230" t="s">
        <v>873</v>
      </c>
      <c r="O2" s="230" t="s">
        <v>874</v>
      </c>
      <c r="P2" s="230" t="s">
        <v>875</v>
      </c>
      <c r="S2" s="236" t="s">
        <v>873</v>
      </c>
      <c r="T2" s="236" t="s">
        <v>874</v>
      </c>
      <c r="U2" s="236" t="s">
        <v>875</v>
      </c>
    </row>
    <row r="3" spans="2:21" ht="45" customHeight="1">
      <c r="B3" s="94">
        <v>1</v>
      </c>
      <c r="C3" s="94" t="str">
        <f>TEXT(F3,"mmm")</f>
        <v>Jan</v>
      </c>
      <c r="D3" s="94" t="s">
        <v>180</v>
      </c>
      <c r="E3" s="227" t="s">
        <v>181</v>
      </c>
      <c r="F3" s="80">
        <v>45670</v>
      </c>
      <c r="G3" s="94" t="s">
        <v>182</v>
      </c>
      <c r="H3" s="228">
        <v>45678</v>
      </c>
      <c r="I3" s="123">
        <v>3</v>
      </c>
      <c r="J3" s="79" t="s">
        <v>183</v>
      </c>
      <c r="M3" s="123" t="s">
        <v>876</v>
      </c>
      <c r="N3" s="123">
        <f>COUNTIF(C:C,"Jan")</f>
        <v>3</v>
      </c>
      <c r="O3" s="123">
        <v>3</v>
      </c>
      <c r="P3" s="123">
        <v>0</v>
      </c>
      <c r="R3" s="123" t="s">
        <v>877</v>
      </c>
      <c r="S3" s="148">
        <v>37</v>
      </c>
      <c r="T3" s="123">
        <v>21</v>
      </c>
      <c r="U3" s="123">
        <v>16</v>
      </c>
    </row>
    <row r="4" spans="2:21" ht="57.75" customHeight="1">
      <c r="B4" s="2">
        <v>2</v>
      </c>
      <c r="C4" s="94" t="str">
        <f t="shared" ref="C4:C38" si="0">TEXT(F4,"mmm")</f>
        <v>Jan</v>
      </c>
      <c r="D4" s="2" t="s">
        <v>191</v>
      </c>
      <c r="E4" s="99" t="s">
        <v>192</v>
      </c>
      <c r="F4" s="75">
        <v>45673</v>
      </c>
      <c r="G4" s="2" t="s">
        <v>193</v>
      </c>
      <c r="H4" s="229">
        <v>45713</v>
      </c>
      <c r="I4" s="123">
        <v>8</v>
      </c>
      <c r="J4" s="1" t="s">
        <v>183</v>
      </c>
      <c r="M4" s="123" t="s">
        <v>878</v>
      </c>
      <c r="N4" s="123">
        <f>COUNTIF(C:C,"Feb")</f>
        <v>6</v>
      </c>
      <c r="O4" s="123">
        <v>6</v>
      </c>
      <c r="P4" s="123">
        <v>0</v>
      </c>
    </row>
    <row r="5" spans="2:21" ht="39.75" customHeight="1">
      <c r="B5" s="2">
        <v>3</v>
      </c>
      <c r="C5" s="94" t="str">
        <f t="shared" si="0"/>
        <v>Jan</v>
      </c>
      <c r="D5" s="2" t="s">
        <v>180</v>
      </c>
      <c r="E5" s="99" t="s">
        <v>194</v>
      </c>
      <c r="F5" s="75">
        <v>45681</v>
      </c>
      <c r="G5" s="2" t="s">
        <v>195</v>
      </c>
      <c r="H5" s="229">
        <v>45705</v>
      </c>
      <c r="I5" s="123">
        <v>8</v>
      </c>
      <c r="J5" s="1" t="s">
        <v>183</v>
      </c>
      <c r="M5" s="123" t="s">
        <v>879</v>
      </c>
      <c r="N5" s="123">
        <f>COUNTIF(C:C,"Mar")</f>
        <v>1</v>
      </c>
      <c r="O5" s="123">
        <v>0</v>
      </c>
      <c r="P5" s="123">
        <v>1</v>
      </c>
    </row>
    <row r="6" spans="2:21" ht="34.5" customHeight="1">
      <c r="B6" s="290">
        <v>4</v>
      </c>
      <c r="C6" s="94" t="str">
        <f t="shared" si="0"/>
        <v>Feb</v>
      </c>
      <c r="D6" s="290" t="s">
        <v>191</v>
      </c>
      <c r="E6" s="14" t="s">
        <v>196</v>
      </c>
      <c r="F6" s="75">
        <v>45691</v>
      </c>
      <c r="G6" s="2" t="s">
        <v>197</v>
      </c>
      <c r="H6" s="229">
        <v>45694</v>
      </c>
      <c r="I6" s="123">
        <v>3</v>
      </c>
      <c r="J6" s="1" t="s">
        <v>183</v>
      </c>
      <c r="M6" s="123" t="s">
        <v>880</v>
      </c>
      <c r="N6" s="123">
        <f>COUNTIF(C:C,"Apr")</f>
        <v>5</v>
      </c>
      <c r="O6" s="123">
        <v>5</v>
      </c>
      <c r="P6" s="123">
        <v>0</v>
      </c>
    </row>
    <row r="7" spans="2:21" ht="39" customHeight="1">
      <c r="B7" s="290"/>
      <c r="C7" s="94" t="str">
        <f t="shared" si="0"/>
        <v>Feb</v>
      </c>
      <c r="D7" s="290"/>
      <c r="E7" s="14" t="s">
        <v>198</v>
      </c>
      <c r="F7" s="75">
        <v>45691</v>
      </c>
      <c r="G7" s="2" t="s">
        <v>199</v>
      </c>
      <c r="H7" s="229">
        <v>45694</v>
      </c>
      <c r="I7" s="123">
        <v>3</v>
      </c>
      <c r="J7" s="1" t="s">
        <v>183</v>
      </c>
      <c r="M7" s="123" t="s">
        <v>866</v>
      </c>
      <c r="N7" s="123">
        <f>COUNTIF(C:C,"May")</f>
        <v>5</v>
      </c>
      <c r="O7" s="123">
        <v>1</v>
      </c>
      <c r="P7" s="123">
        <v>4</v>
      </c>
    </row>
    <row r="8" spans="2:21" ht="42" customHeight="1">
      <c r="B8" s="290"/>
      <c r="C8" s="94" t="str">
        <f t="shared" si="0"/>
        <v>Feb</v>
      </c>
      <c r="D8" s="290"/>
      <c r="E8" s="14" t="s">
        <v>200</v>
      </c>
      <c r="F8" s="75">
        <v>45691</v>
      </c>
      <c r="G8" s="2" t="s">
        <v>201</v>
      </c>
      <c r="H8" s="229">
        <v>45694</v>
      </c>
      <c r="I8" s="123">
        <v>4</v>
      </c>
      <c r="J8" s="1" t="s">
        <v>183</v>
      </c>
      <c r="M8" s="123" t="s">
        <v>881</v>
      </c>
      <c r="N8" s="123">
        <f>COUNTIF(C:C,"Jun")</f>
        <v>0</v>
      </c>
      <c r="O8" s="123">
        <v>0</v>
      </c>
      <c r="P8" s="123">
        <v>0</v>
      </c>
    </row>
    <row r="9" spans="2:21" ht="36.75" customHeight="1">
      <c r="B9" s="290"/>
      <c r="C9" s="94" t="str">
        <f t="shared" si="0"/>
        <v>Feb</v>
      </c>
      <c r="D9" s="290"/>
      <c r="E9" s="14" t="s">
        <v>202</v>
      </c>
      <c r="F9" s="75">
        <v>45691</v>
      </c>
      <c r="G9" s="2" t="s">
        <v>203</v>
      </c>
      <c r="H9" s="229">
        <v>45694</v>
      </c>
      <c r="I9" s="123">
        <v>3</v>
      </c>
      <c r="J9" s="1" t="s">
        <v>183</v>
      </c>
      <c r="M9" s="123" t="s">
        <v>882</v>
      </c>
      <c r="N9" s="123">
        <f>COUNTIF(C:C,"Jul")</f>
        <v>5</v>
      </c>
      <c r="O9" s="123">
        <v>4</v>
      </c>
      <c r="P9" s="123">
        <v>1</v>
      </c>
    </row>
    <row r="10" spans="2:21" ht="38.25" customHeight="1">
      <c r="B10" s="290">
        <v>5</v>
      </c>
      <c r="C10" s="94" t="str">
        <f t="shared" si="0"/>
        <v>Feb</v>
      </c>
      <c r="D10" s="290" t="s">
        <v>191</v>
      </c>
      <c r="E10" s="14" t="s">
        <v>204</v>
      </c>
      <c r="F10" s="75">
        <v>45715</v>
      </c>
      <c r="G10" s="290" t="s">
        <v>205</v>
      </c>
      <c r="H10" s="229">
        <v>45719</v>
      </c>
      <c r="I10" s="123">
        <v>2</v>
      </c>
      <c r="J10" s="1" t="s">
        <v>183</v>
      </c>
      <c r="M10" s="123" t="s">
        <v>883</v>
      </c>
      <c r="N10" s="123">
        <f>COUNTIF(C:C,"Aug")</f>
        <v>3</v>
      </c>
      <c r="O10" s="123">
        <v>0</v>
      </c>
      <c r="P10" s="123">
        <v>3</v>
      </c>
    </row>
    <row r="11" spans="2:21" ht="38.25" customHeight="1">
      <c r="B11" s="290"/>
      <c r="C11" s="94" t="str">
        <f t="shared" si="0"/>
        <v>Feb</v>
      </c>
      <c r="D11" s="290"/>
      <c r="E11" s="14" t="s">
        <v>206</v>
      </c>
      <c r="F11" s="75">
        <v>45715</v>
      </c>
      <c r="G11" s="290"/>
      <c r="H11" s="229">
        <v>45719</v>
      </c>
      <c r="I11" s="123">
        <v>2</v>
      </c>
      <c r="J11" s="1" t="s">
        <v>183</v>
      </c>
      <c r="M11" s="123" t="s">
        <v>884</v>
      </c>
      <c r="N11" s="123">
        <f>COUNTIF(C:C,"Sep")</f>
        <v>4</v>
      </c>
      <c r="O11" s="123">
        <v>2</v>
      </c>
      <c r="P11" s="123">
        <v>2</v>
      </c>
    </row>
    <row r="12" spans="2:21" ht="41.25" customHeight="1">
      <c r="B12" s="2">
        <v>6</v>
      </c>
      <c r="C12" s="94" t="str">
        <f t="shared" si="0"/>
        <v>Mar</v>
      </c>
      <c r="D12" s="2" t="s">
        <v>191</v>
      </c>
      <c r="E12" s="99" t="s">
        <v>78</v>
      </c>
      <c r="F12" s="75">
        <v>45719</v>
      </c>
      <c r="G12" s="75">
        <v>45720</v>
      </c>
      <c r="H12" s="229">
        <v>45720</v>
      </c>
      <c r="I12" s="123">
        <v>1</v>
      </c>
      <c r="J12" s="1" t="s">
        <v>207</v>
      </c>
      <c r="M12" s="123" t="s">
        <v>885</v>
      </c>
      <c r="N12" s="123">
        <f>COUNTIF(C:C,"Oct")</f>
        <v>2</v>
      </c>
      <c r="O12" s="123">
        <v>0</v>
      </c>
      <c r="P12" s="123">
        <v>2</v>
      </c>
    </row>
    <row r="13" spans="2:21" ht="48" customHeight="1">
      <c r="B13" s="2">
        <v>7</v>
      </c>
      <c r="C13" s="94" t="str">
        <f t="shared" si="0"/>
        <v>Apr</v>
      </c>
      <c r="D13" s="2" t="s">
        <v>180</v>
      </c>
      <c r="E13" s="99" t="s">
        <v>95</v>
      </c>
      <c r="F13" s="75">
        <v>45750</v>
      </c>
      <c r="G13" s="2" t="s">
        <v>208</v>
      </c>
      <c r="H13" s="229">
        <v>45775</v>
      </c>
      <c r="I13" s="123">
        <v>5</v>
      </c>
      <c r="J13" s="1" t="s">
        <v>183</v>
      </c>
      <c r="M13" s="123" t="s">
        <v>886</v>
      </c>
      <c r="N13" s="123">
        <f>COUNTIF(C:C,"Nov")</f>
        <v>2</v>
      </c>
      <c r="O13" s="123">
        <v>0</v>
      </c>
      <c r="P13" s="123">
        <v>2</v>
      </c>
    </row>
    <row r="14" spans="2:21" ht="41.25" customHeight="1">
      <c r="B14" s="401">
        <v>8</v>
      </c>
      <c r="C14" s="94" t="str">
        <f t="shared" si="0"/>
        <v>Apr</v>
      </c>
      <c r="D14" s="401" t="s">
        <v>191</v>
      </c>
      <c r="E14" s="76" t="s">
        <v>209</v>
      </c>
      <c r="F14" s="75">
        <v>45758</v>
      </c>
      <c r="G14" s="314" t="s">
        <v>887</v>
      </c>
      <c r="H14" s="229">
        <v>45763</v>
      </c>
      <c r="I14" s="123">
        <v>4</v>
      </c>
      <c r="J14" s="1" t="s">
        <v>183</v>
      </c>
      <c r="M14" s="137" t="s">
        <v>888</v>
      </c>
      <c r="N14" s="137">
        <v>1</v>
      </c>
      <c r="O14" s="137">
        <v>0</v>
      </c>
      <c r="P14" s="137">
        <v>1</v>
      </c>
    </row>
    <row r="15" spans="2:21" ht="43.5" customHeight="1">
      <c r="B15" s="403"/>
      <c r="C15" s="94" t="str">
        <f t="shared" si="0"/>
        <v>Apr</v>
      </c>
      <c r="D15" s="403"/>
      <c r="E15" s="76" t="s">
        <v>211</v>
      </c>
      <c r="F15" s="75">
        <v>45758</v>
      </c>
      <c r="G15" s="315"/>
      <c r="H15" s="229">
        <v>45801</v>
      </c>
      <c r="I15" s="123">
        <v>5</v>
      </c>
      <c r="J15" s="1" t="s">
        <v>183</v>
      </c>
      <c r="M15" s="233" t="s">
        <v>877</v>
      </c>
      <c r="N15" s="123">
        <f>SUM(N3:N14)</f>
        <v>37</v>
      </c>
      <c r="O15" s="123">
        <f>SUM(O3:O14)</f>
        <v>21</v>
      </c>
      <c r="P15" s="123">
        <f>SUM(P3:P14)</f>
        <v>16</v>
      </c>
    </row>
    <row r="16" spans="2:21" ht="49.5" customHeight="1">
      <c r="B16" s="401">
        <v>9</v>
      </c>
      <c r="C16" s="94" t="str">
        <f t="shared" si="0"/>
        <v>Apr</v>
      </c>
      <c r="D16" s="401" t="s">
        <v>191</v>
      </c>
      <c r="E16" s="77" t="s">
        <v>212</v>
      </c>
      <c r="F16" s="75">
        <v>45763</v>
      </c>
      <c r="G16" s="314" t="s">
        <v>213</v>
      </c>
      <c r="H16" s="229">
        <v>45764</v>
      </c>
      <c r="I16" s="123">
        <v>2</v>
      </c>
      <c r="J16" s="1" t="s">
        <v>183</v>
      </c>
    </row>
    <row r="17" spans="2:11" ht="48.75" customHeight="1">
      <c r="B17" s="403"/>
      <c r="C17" s="94" t="str">
        <f t="shared" si="0"/>
        <v>Apr</v>
      </c>
      <c r="D17" s="403"/>
      <c r="E17" s="77" t="s">
        <v>214</v>
      </c>
      <c r="F17" s="75">
        <v>45763</v>
      </c>
      <c r="G17" s="315"/>
      <c r="H17" s="229">
        <v>45764</v>
      </c>
      <c r="I17" s="123">
        <v>2</v>
      </c>
      <c r="J17" s="1" t="s">
        <v>183</v>
      </c>
    </row>
    <row r="18" spans="2:11" ht="41.25" customHeight="1">
      <c r="B18" s="2">
        <v>10</v>
      </c>
      <c r="C18" s="94" t="str">
        <f t="shared" si="0"/>
        <v>May</v>
      </c>
      <c r="D18" s="194" t="s">
        <v>191</v>
      </c>
      <c r="E18" s="77" t="s">
        <v>215</v>
      </c>
      <c r="F18" s="75">
        <v>45782</v>
      </c>
      <c r="G18" s="75">
        <v>45782</v>
      </c>
      <c r="H18" s="229">
        <v>45782</v>
      </c>
      <c r="I18" s="123">
        <v>1</v>
      </c>
      <c r="J18" s="1" t="s">
        <v>207</v>
      </c>
    </row>
    <row r="19" spans="2:11" ht="39" customHeight="1">
      <c r="B19" s="2">
        <v>11</v>
      </c>
      <c r="C19" s="94" t="str">
        <f t="shared" si="0"/>
        <v>May</v>
      </c>
      <c r="D19" s="194" t="s">
        <v>191</v>
      </c>
      <c r="E19" s="77" t="s">
        <v>216</v>
      </c>
      <c r="F19" s="75">
        <v>45783</v>
      </c>
      <c r="G19" s="2" t="s">
        <v>217</v>
      </c>
      <c r="H19" s="229">
        <v>45784</v>
      </c>
      <c r="I19" s="123">
        <v>2</v>
      </c>
      <c r="J19" s="1" t="s">
        <v>207</v>
      </c>
    </row>
    <row r="20" spans="2:11" ht="51.75" customHeight="1">
      <c r="B20" s="401">
        <v>12</v>
      </c>
      <c r="C20" s="94" t="str">
        <f t="shared" si="0"/>
        <v>May</v>
      </c>
      <c r="D20" s="401" t="s">
        <v>191</v>
      </c>
      <c r="E20" s="77" t="s">
        <v>218</v>
      </c>
      <c r="F20" s="75">
        <v>45794</v>
      </c>
      <c r="G20" s="75">
        <v>45798</v>
      </c>
      <c r="H20" s="75">
        <v>45798</v>
      </c>
      <c r="I20" s="123">
        <v>1</v>
      </c>
      <c r="J20" s="1" t="s">
        <v>183</v>
      </c>
      <c r="K20" s="235"/>
    </row>
    <row r="21" spans="2:11" ht="51" customHeight="1">
      <c r="B21" s="402"/>
      <c r="C21" s="94" t="str">
        <f t="shared" si="0"/>
        <v>May</v>
      </c>
      <c r="D21" s="402"/>
      <c r="E21" s="126" t="s">
        <v>219</v>
      </c>
      <c r="F21" s="125">
        <v>45794</v>
      </c>
      <c r="G21" s="125">
        <v>45798</v>
      </c>
      <c r="H21" s="75">
        <v>45798</v>
      </c>
      <c r="I21" s="123">
        <v>1</v>
      </c>
      <c r="J21" s="98" t="s">
        <v>207</v>
      </c>
    </row>
    <row r="22" spans="2:11" ht="29.25">
      <c r="B22" s="2">
        <v>13</v>
      </c>
      <c r="C22" s="94" t="str">
        <f t="shared" si="0"/>
        <v>May</v>
      </c>
      <c r="D22" s="2" t="s">
        <v>180</v>
      </c>
      <c r="E22" s="77" t="s">
        <v>220</v>
      </c>
      <c r="F22" s="75">
        <v>45799</v>
      </c>
      <c r="G22" s="75" t="s">
        <v>889</v>
      </c>
      <c r="H22" s="229">
        <v>46002</v>
      </c>
      <c r="I22" s="123">
        <v>7</v>
      </c>
      <c r="J22" s="1" t="s">
        <v>207</v>
      </c>
    </row>
    <row r="23" spans="2:11" ht="43.5" customHeight="1">
      <c r="B23" s="2">
        <v>14</v>
      </c>
      <c r="C23" s="94" t="str">
        <f t="shared" si="0"/>
        <v>Jul</v>
      </c>
      <c r="D23" s="2" t="s">
        <v>180</v>
      </c>
      <c r="E23" s="77" t="s">
        <v>222</v>
      </c>
      <c r="F23" s="75">
        <v>45856</v>
      </c>
      <c r="G23" s="75" t="s">
        <v>223</v>
      </c>
      <c r="H23" s="229">
        <v>45861</v>
      </c>
      <c r="I23" s="123">
        <v>2</v>
      </c>
      <c r="J23" s="1" t="s">
        <v>183</v>
      </c>
    </row>
    <row r="24" spans="2:11" ht="43.5" customHeight="1">
      <c r="B24" s="2">
        <v>15</v>
      </c>
      <c r="C24" s="94" t="str">
        <f t="shared" si="0"/>
        <v>Jul</v>
      </c>
      <c r="D24" s="2" t="s">
        <v>180</v>
      </c>
      <c r="E24" s="77" t="s">
        <v>224</v>
      </c>
      <c r="F24" s="75">
        <v>45859</v>
      </c>
      <c r="G24" s="75">
        <v>45860</v>
      </c>
      <c r="H24" s="229">
        <v>45860</v>
      </c>
      <c r="I24" s="123">
        <v>1</v>
      </c>
      <c r="J24" s="1" t="s">
        <v>207</v>
      </c>
    </row>
    <row r="25" spans="2:11" ht="15.75">
      <c r="B25" s="2">
        <v>16</v>
      </c>
      <c r="C25" s="94" t="str">
        <f t="shared" si="0"/>
        <v>Jul</v>
      </c>
      <c r="D25" s="2" t="s">
        <v>191</v>
      </c>
      <c r="E25" s="77" t="s">
        <v>225</v>
      </c>
      <c r="F25" s="75">
        <v>45868</v>
      </c>
      <c r="G25" s="75">
        <v>45869</v>
      </c>
      <c r="H25" s="229">
        <v>45869</v>
      </c>
      <c r="I25" s="123">
        <v>1</v>
      </c>
      <c r="J25" s="1" t="s">
        <v>183</v>
      </c>
    </row>
    <row r="26" spans="2:11" ht="15.75">
      <c r="B26" s="2">
        <v>17</v>
      </c>
      <c r="C26" s="94" t="str">
        <f t="shared" si="0"/>
        <v>Jul</v>
      </c>
      <c r="D26" s="2" t="s">
        <v>191</v>
      </c>
      <c r="E26" s="77" t="s">
        <v>226</v>
      </c>
      <c r="F26" s="75">
        <v>45868</v>
      </c>
      <c r="G26" s="75">
        <v>45869</v>
      </c>
      <c r="H26" s="229">
        <v>45869</v>
      </c>
      <c r="I26" s="123">
        <v>1</v>
      </c>
      <c r="J26" s="1" t="s">
        <v>183</v>
      </c>
    </row>
    <row r="27" spans="2:11" ht="15.75">
      <c r="B27" s="2">
        <v>18</v>
      </c>
      <c r="C27" s="94" t="str">
        <f t="shared" si="0"/>
        <v>Jul</v>
      </c>
      <c r="D27" s="2" t="s">
        <v>180</v>
      </c>
      <c r="E27" s="77" t="s">
        <v>227</v>
      </c>
      <c r="F27" s="75">
        <v>45868</v>
      </c>
      <c r="G27" s="75">
        <v>45888</v>
      </c>
      <c r="H27" s="229">
        <v>45888</v>
      </c>
      <c r="I27" s="123">
        <v>1</v>
      </c>
      <c r="J27" s="1" t="s">
        <v>183</v>
      </c>
    </row>
    <row r="28" spans="2:11" ht="15.75">
      <c r="B28" s="2">
        <v>19</v>
      </c>
      <c r="C28" s="94" t="str">
        <f t="shared" si="0"/>
        <v>Aug</v>
      </c>
      <c r="D28" s="2" t="s">
        <v>180</v>
      </c>
      <c r="E28" s="77" t="s">
        <v>228</v>
      </c>
      <c r="F28" s="75">
        <v>45870</v>
      </c>
      <c r="G28" s="75">
        <v>45876</v>
      </c>
      <c r="H28" s="229">
        <v>45876</v>
      </c>
      <c r="I28" s="123">
        <v>1</v>
      </c>
      <c r="J28" s="1" t="s">
        <v>207</v>
      </c>
    </row>
    <row r="29" spans="2:11" ht="15.75">
      <c r="B29" s="2">
        <v>20</v>
      </c>
      <c r="C29" s="94" t="str">
        <f t="shared" si="0"/>
        <v>Aug</v>
      </c>
      <c r="D29" s="2" t="s">
        <v>191</v>
      </c>
      <c r="E29" s="77" t="s">
        <v>229</v>
      </c>
      <c r="F29" s="75">
        <v>45891</v>
      </c>
      <c r="G29" s="75" t="s">
        <v>230</v>
      </c>
      <c r="H29" s="229">
        <v>45923</v>
      </c>
      <c r="I29" s="123">
        <v>4</v>
      </c>
      <c r="J29" s="1" t="s">
        <v>207</v>
      </c>
    </row>
    <row r="30" spans="2:11" ht="15.75">
      <c r="B30" s="2">
        <v>21</v>
      </c>
      <c r="C30" s="94" t="str">
        <f t="shared" si="0"/>
        <v>Aug</v>
      </c>
      <c r="D30" s="2" t="s">
        <v>180</v>
      </c>
      <c r="E30" s="77" t="s">
        <v>231</v>
      </c>
      <c r="F30" s="75">
        <v>45895</v>
      </c>
      <c r="G30" s="75"/>
      <c r="H30" s="229">
        <v>45895</v>
      </c>
      <c r="I30" s="123">
        <v>0</v>
      </c>
      <c r="J30" s="1" t="s">
        <v>207</v>
      </c>
    </row>
    <row r="31" spans="2:11" ht="54" customHeight="1">
      <c r="B31" s="2">
        <v>22</v>
      </c>
      <c r="C31" s="94" t="str">
        <f t="shared" si="0"/>
        <v>Sep</v>
      </c>
      <c r="D31" s="2" t="s">
        <v>180</v>
      </c>
      <c r="E31" s="77" t="s">
        <v>232</v>
      </c>
      <c r="F31" s="75">
        <v>45910</v>
      </c>
      <c r="G31" s="75">
        <v>45936</v>
      </c>
      <c r="H31" s="229">
        <v>45936</v>
      </c>
      <c r="I31" s="123">
        <v>1</v>
      </c>
      <c r="J31" s="1" t="s">
        <v>207</v>
      </c>
    </row>
    <row r="32" spans="2:11" ht="29.25">
      <c r="B32" s="2">
        <v>23</v>
      </c>
      <c r="C32" s="94" t="str">
        <f t="shared" si="0"/>
        <v>Sep</v>
      </c>
      <c r="D32" s="2" t="s">
        <v>191</v>
      </c>
      <c r="E32" s="77" t="s">
        <v>233</v>
      </c>
      <c r="F32" s="75">
        <v>45911</v>
      </c>
      <c r="G32" s="75" t="s">
        <v>234</v>
      </c>
      <c r="H32" s="229">
        <v>45974</v>
      </c>
      <c r="I32" s="123">
        <v>6</v>
      </c>
      <c r="J32" s="1" t="s">
        <v>183</v>
      </c>
    </row>
    <row r="33" spans="2:10" ht="52.5" customHeight="1">
      <c r="B33" s="2">
        <v>24</v>
      </c>
      <c r="C33" s="94" t="str">
        <f t="shared" si="0"/>
        <v>Sep</v>
      </c>
      <c r="D33" s="2" t="s">
        <v>180</v>
      </c>
      <c r="E33" s="77" t="s">
        <v>235</v>
      </c>
      <c r="F33" s="75">
        <v>45913</v>
      </c>
      <c r="G33" s="75">
        <v>45916</v>
      </c>
      <c r="H33" s="229">
        <v>45916</v>
      </c>
      <c r="I33" s="123">
        <v>1</v>
      </c>
      <c r="J33" s="1" t="s">
        <v>207</v>
      </c>
    </row>
    <row r="34" spans="2:10" ht="29.25">
      <c r="B34" s="2">
        <v>25</v>
      </c>
      <c r="C34" s="94" t="str">
        <f t="shared" si="0"/>
        <v>Sep</v>
      </c>
      <c r="D34" s="2" t="s">
        <v>191</v>
      </c>
      <c r="E34" s="77" t="s">
        <v>236</v>
      </c>
      <c r="F34" s="75">
        <v>45922</v>
      </c>
      <c r="G34" s="75" t="s">
        <v>237</v>
      </c>
      <c r="H34" s="229">
        <v>45974</v>
      </c>
      <c r="I34" s="123">
        <v>5</v>
      </c>
      <c r="J34" s="1" t="s">
        <v>183</v>
      </c>
    </row>
    <row r="35" spans="2:10" ht="54" customHeight="1">
      <c r="B35" s="2">
        <v>26</v>
      </c>
      <c r="C35" s="94" t="str">
        <f t="shared" si="0"/>
        <v>Oct</v>
      </c>
      <c r="D35" s="2" t="s">
        <v>191</v>
      </c>
      <c r="E35" s="190" t="s">
        <v>238</v>
      </c>
      <c r="F35" s="75">
        <v>45940</v>
      </c>
      <c r="G35" s="75" t="s">
        <v>239</v>
      </c>
      <c r="H35" s="229">
        <v>45943</v>
      </c>
      <c r="I35" s="123">
        <v>2</v>
      </c>
      <c r="J35" s="1" t="s">
        <v>207</v>
      </c>
    </row>
    <row r="36" spans="2:10" ht="50.25" customHeight="1">
      <c r="B36" s="2">
        <v>27</v>
      </c>
      <c r="C36" s="94" t="str">
        <f t="shared" si="0"/>
        <v>Oct</v>
      </c>
      <c r="D36" s="2" t="s">
        <v>180</v>
      </c>
      <c r="E36" s="190" t="s">
        <v>240</v>
      </c>
      <c r="F36" s="75">
        <v>45954</v>
      </c>
      <c r="G36" s="75" t="s">
        <v>241</v>
      </c>
      <c r="H36" s="75">
        <v>46008</v>
      </c>
      <c r="I36" s="123">
        <v>2</v>
      </c>
      <c r="J36" s="1" t="s">
        <v>207</v>
      </c>
    </row>
    <row r="37" spans="2:10" ht="29.25">
      <c r="B37" s="2">
        <v>28</v>
      </c>
      <c r="C37" s="94" t="str">
        <f t="shared" si="0"/>
        <v>Nov</v>
      </c>
      <c r="D37" s="2" t="s">
        <v>191</v>
      </c>
      <c r="E37" s="190" t="s">
        <v>242</v>
      </c>
      <c r="F37" s="75">
        <v>45966</v>
      </c>
      <c r="G37" s="75" t="s">
        <v>243</v>
      </c>
      <c r="H37" s="75">
        <v>46017</v>
      </c>
      <c r="I37" s="123">
        <v>5</v>
      </c>
      <c r="J37" s="1" t="s">
        <v>207</v>
      </c>
    </row>
    <row r="38" spans="2:10" ht="54.75" customHeight="1">
      <c r="B38" s="2">
        <v>29</v>
      </c>
      <c r="C38" s="94" t="str">
        <f t="shared" si="0"/>
        <v>Nov</v>
      </c>
      <c r="D38" s="2" t="s">
        <v>191</v>
      </c>
      <c r="E38" s="190" t="s">
        <v>244</v>
      </c>
      <c r="F38" s="75">
        <v>45984</v>
      </c>
      <c r="G38" s="75"/>
      <c r="H38" s="229">
        <v>45984</v>
      </c>
      <c r="I38" s="123">
        <v>0</v>
      </c>
      <c r="J38" s="1" t="s">
        <v>207</v>
      </c>
    </row>
    <row r="39" spans="2:10" ht="45" customHeight="1">
      <c r="B39" s="2">
        <v>30</v>
      </c>
      <c r="C39" s="94" t="s">
        <v>890</v>
      </c>
      <c r="D39" s="2" t="s">
        <v>191</v>
      </c>
      <c r="E39" s="190" t="s">
        <v>245</v>
      </c>
      <c r="F39" s="75">
        <v>46000</v>
      </c>
      <c r="G39" s="75">
        <v>46001</v>
      </c>
      <c r="H39" s="75">
        <v>46000</v>
      </c>
      <c r="I39" s="123">
        <v>1</v>
      </c>
      <c r="J39" s="1" t="s">
        <v>207</v>
      </c>
    </row>
  </sheetData>
  <mergeCells count="13">
    <mergeCell ref="D20:D21"/>
    <mergeCell ref="B6:B9"/>
    <mergeCell ref="B10:B11"/>
    <mergeCell ref="B14:B15"/>
    <mergeCell ref="B16:B17"/>
    <mergeCell ref="B20:B21"/>
    <mergeCell ref="G10:G11"/>
    <mergeCell ref="G14:G15"/>
    <mergeCell ref="G16:G17"/>
    <mergeCell ref="D6:D9"/>
    <mergeCell ref="D10:D11"/>
    <mergeCell ref="D14:D15"/>
    <mergeCell ref="D16:D17"/>
  </mergeCells>
  <dataValidations count="2">
    <dataValidation type="list" allowBlank="1" showInputMessage="1" showErrorMessage="1" sqref="D3:D6 D10 D12:D14 D16 D18:D20 D22:D39" xr:uid="{D8C233FE-40C3-48E7-B85A-E8373A03F2D9}">
      <formula1>"Event, Non-Event"</formula1>
    </dataValidation>
    <dataValidation type="list" allowBlank="1" showInputMessage="1" showErrorMessage="1" sqref="J3:J39" xr:uid="{48742E12-0AC2-4510-9035-403C1FEE1906}">
      <formula1>"Yes,No"</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D268D-9E60-42F8-811E-91A1EB8903D0}">
  <dimension ref="G4:W14"/>
  <sheetViews>
    <sheetView workbookViewId="0">
      <selection activeCell="I6" sqref="I6"/>
    </sheetView>
  </sheetViews>
  <sheetFormatPr defaultColWidth="9.140625" defaultRowHeight="15"/>
  <cols>
    <col min="7" max="7" width="5.140625" customWidth="1"/>
    <col min="8" max="8" width="10.28515625" customWidth="1"/>
    <col min="9" max="9" width="11.140625" customWidth="1"/>
    <col min="10" max="10" width="11" customWidth="1"/>
    <col min="11" max="11" width="15.42578125" customWidth="1"/>
    <col min="12" max="12" width="13.42578125" customWidth="1"/>
    <col min="13" max="13" width="37.85546875" customWidth="1"/>
    <col min="14" max="14" width="7.28515625" customWidth="1"/>
    <col min="15" max="15" width="42" customWidth="1"/>
    <col min="19" max="19" width="12.85546875" customWidth="1"/>
  </cols>
  <sheetData>
    <row r="4" spans="7:23">
      <c r="J4" s="156" t="s">
        <v>891</v>
      </c>
    </row>
    <row r="11" spans="7:23" ht="29.25">
      <c r="G11" s="131" t="s">
        <v>892</v>
      </c>
      <c r="H11" s="131" t="s">
        <v>1</v>
      </c>
      <c r="I11" s="132" t="s">
        <v>2</v>
      </c>
      <c r="J11" s="132" t="s">
        <v>3</v>
      </c>
      <c r="K11" s="132" t="s">
        <v>4</v>
      </c>
      <c r="L11" s="132" t="s">
        <v>584</v>
      </c>
      <c r="M11" s="132" t="s">
        <v>5</v>
      </c>
      <c r="N11" s="132" t="s">
        <v>6</v>
      </c>
      <c r="O11" s="132" t="s">
        <v>7</v>
      </c>
    </row>
    <row r="12" spans="7:23" ht="72.75">
      <c r="G12" s="123">
        <v>1</v>
      </c>
      <c r="H12" s="205" t="s">
        <v>893</v>
      </c>
      <c r="I12" s="123" t="s">
        <v>591</v>
      </c>
      <c r="J12" s="138" t="s">
        <v>592</v>
      </c>
      <c r="K12" s="183" t="s">
        <v>242</v>
      </c>
      <c r="L12" s="187" t="s">
        <v>843</v>
      </c>
      <c r="M12" s="133" t="s">
        <v>844</v>
      </c>
      <c r="N12" s="123" t="s">
        <v>13</v>
      </c>
      <c r="O12" s="274" t="s">
        <v>894</v>
      </c>
    </row>
    <row r="14" spans="7:23">
      <c r="S14" s="411"/>
      <c r="T14" s="411"/>
      <c r="U14" s="411"/>
      <c r="V14" s="411"/>
      <c r="W14" s="411"/>
    </row>
  </sheetData>
  <mergeCells count="1">
    <mergeCell ref="S14:W14"/>
  </mergeCells>
  <hyperlinks>
    <hyperlink ref="O12" r:id="rId1" location="slide=id.g3a0722e8fad_0_6" xr:uid="{CDD99E9F-A77A-4AC5-9D32-D62511006359}"/>
    <hyperlink ref="J4" r:id="rId2" xr:uid="{51E2E246-D365-44B3-BBD2-969277A31D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2025-01-07T07:34:43Z</dcterms:created>
  <dcterms:modified xsi:type="dcterms:W3CDTF">2026-01-20T08:03:50Z</dcterms:modified>
  <cp:category/>
  <cp:contentStatus/>
</cp:coreProperties>
</file>